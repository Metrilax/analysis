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y p seby\Downloads\"/>
    </mc:Choice>
  </mc:AlternateContent>
  <xr:revisionPtr revIDLastSave="0" documentId="13_ncr:1_{960433ED-6EE9-4489-B067-9C398CE6A8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9"/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</calcChain>
</file>

<file path=xl/sharedStrings.xml><?xml version="1.0" encoding="utf-8"?>
<sst xmlns="http://schemas.openxmlformats.org/spreadsheetml/2006/main" count="187" uniqueCount="150">
  <si>
    <t>Timestamp</t>
  </si>
  <si>
    <t>Register Number</t>
  </si>
  <si>
    <t>Name</t>
  </si>
  <si>
    <t>Gender</t>
  </si>
  <si>
    <t>Email (Institutional)</t>
  </si>
  <si>
    <t>23PDS1CC01 (FDS) - CIA</t>
  </si>
  <si>
    <t>23PDS1CC01 (FDS) - SEM</t>
  </si>
  <si>
    <t>23PDS1CC02 (MDS) - CIA</t>
  </si>
  <si>
    <t>23PDS1CC02 (MDS) - SEM</t>
  </si>
  <si>
    <t>23PDS1CC03 (Stat - 1) - CIA</t>
  </si>
  <si>
    <t>23PDS1CC03 (Stat - 1) - Sem</t>
  </si>
  <si>
    <t>23PDS1ES01 (DSA) - CIA</t>
  </si>
  <si>
    <t>23PDS1ES01 (DS) - Sem</t>
  </si>
  <si>
    <t>23PDS1ES02 (Java) - CIA</t>
  </si>
  <si>
    <t>23PDS1ES02 (Java) - Sem</t>
  </si>
  <si>
    <t>23PDS1AE01 (DSE) - CIA</t>
  </si>
  <si>
    <t>23PDS2CC04 (Stat - 2) - CIA</t>
  </si>
  <si>
    <t>23PDS2CC04 (Stat - 2) - Sem</t>
  </si>
  <si>
    <t xml:space="preserve">23PDS2CC05 (Python) - CIA </t>
  </si>
  <si>
    <t>23PDS2CC05 (Python) - Sem</t>
  </si>
  <si>
    <t>23PDS2CP01 (Python Prac) - CIA</t>
  </si>
  <si>
    <t>23PDS2CP01 (Python Prac) - Sem</t>
  </si>
  <si>
    <t>23PDS2CP02 (R Prog) - CIA</t>
  </si>
  <si>
    <t>23PDS2CP02 (R Prog) - Sem</t>
  </si>
  <si>
    <t>23PDS2SP01 (SP MEAN) - CIA</t>
  </si>
  <si>
    <t>23PDS2SP01 (SP MEAN) - Sem</t>
  </si>
  <si>
    <t>23PDS2ES03B (DS) - CIA</t>
  </si>
  <si>
    <t>23PDS2ES03B (DS) - Sem</t>
  </si>
  <si>
    <t>23PSS2SE01 (SS) - CIA</t>
  </si>
  <si>
    <t>23PDS2EG01 (DM) - CIA</t>
  </si>
  <si>
    <t>23PDS2EG01 (DM) - Sem</t>
  </si>
  <si>
    <t>24pds853</t>
  </si>
  <si>
    <t>Manikandan R</t>
  </si>
  <si>
    <t>Male</t>
  </si>
  <si>
    <t>24pds853@mail.sjctni.edu</t>
  </si>
  <si>
    <t>24PDS848</t>
  </si>
  <si>
    <t>Ganesh.M</t>
  </si>
  <si>
    <t>24pds848@mail.sjctni.edu</t>
  </si>
  <si>
    <t>24PDS838</t>
  </si>
  <si>
    <t>Nivetha A</t>
  </si>
  <si>
    <t>Female</t>
  </si>
  <si>
    <t>24pds838@mail.sjctni.edu</t>
  </si>
  <si>
    <t xml:space="preserve">24pds818 </t>
  </si>
  <si>
    <t>Keerthivasan.S</t>
  </si>
  <si>
    <t>24pds818@mail.sjctni.edu</t>
  </si>
  <si>
    <t>24PDS835</t>
  </si>
  <si>
    <t xml:space="preserve">Bhuvana Gayathri A </t>
  </si>
  <si>
    <t>24pds835@mail.sjctni.edu</t>
  </si>
  <si>
    <t xml:space="preserve">24PDS841 </t>
  </si>
  <si>
    <t xml:space="preserve">Deepika.R </t>
  </si>
  <si>
    <t>deepika000044@gmail.com</t>
  </si>
  <si>
    <t>24PDS837</t>
  </si>
  <si>
    <t>Gokul</t>
  </si>
  <si>
    <t>24pds837@mail.sjctni.edu</t>
  </si>
  <si>
    <t>24PDS854</t>
  </si>
  <si>
    <t>JOHN P SEBY</t>
  </si>
  <si>
    <t>24pds854@mail.sjctni.edu</t>
  </si>
  <si>
    <t>24PDS860</t>
  </si>
  <si>
    <t xml:space="preserve">Roshini Shamma J </t>
  </si>
  <si>
    <t>24pds860@mail.sjctni.edu</t>
  </si>
  <si>
    <t>24PDS847</t>
  </si>
  <si>
    <t>Bastin Walter J</t>
  </si>
  <si>
    <t>24pds847@mail.sjctni.edu</t>
  </si>
  <si>
    <t>24PDS823</t>
  </si>
  <si>
    <t>Thomas Robinson A</t>
  </si>
  <si>
    <t>24PDS823@mail.sjctni.edu</t>
  </si>
  <si>
    <t>24pds820</t>
  </si>
  <si>
    <t>Priya R</t>
  </si>
  <si>
    <t>24pds820@mail.sjctni.edu</t>
  </si>
  <si>
    <t>24PDS807</t>
  </si>
  <si>
    <t>Janet Angel J</t>
  </si>
  <si>
    <t>24PDS807@mail.sjctni.edu</t>
  </si>
  <si>
    <t>24PDS801</t>
  </si>
  <si>
    <t>Amala Roselin Mary J</t>
  </si>
  <si>
    <t>24pds801@mail.sjctni.edu</t>
  </si>
  <si>
    <t>24PDS803</t>
  </si>
  <si>
    <t>ABISHA SILVIYA P</t>
  </si>
  <si>
    <t>24pds803@mail.sjctni.edu</t>
  </si>
  <si>
    <t>24pds846</t>
  </si>
  <si>
    <t xml:space="preserve">Agnel Sam Joshua </t>
  </si>
  <si>
    <t>24pds846@mail.sjctni.edu</t>
  </si>
  <si>
    <t>24pds861</t>
  </si>
  <si>
    <t xml:space="preserve">Alwin Hilton A </t>
  </si>
  <si>
    <t>24pds861@mail.sjctni.edu</t>
  </si>
  <si>
    <t>24PDS826</t>
  </si>
  <si>
    <t>MANISHA S</t>
  </si>
  <si>
    <t>24pds826@mail.sjctni.edu</t>
  </si>
  <si>
    <t>24PDS842</t>
  </si>
  <si>
    <t>N J VISHNU PRASAD</t>
  </si>
  <si>
    <t>24PDS842@mail.sjctni.edu</t>
  </si>
  <si>
    <t>24PDS832</t>
  </si>
  <si>
    <t>Shirley Metilda L</t>
  </si>
  <si>
    <t>shirleymetilda23@gmail.com</t>
  </si>
  <si>
    <t>24PDS804</t>
  </si>
  <si>
    <t xml:space="preserve">Lincy Mary N </t>
  </si>
  <si>
    <t>24pds804@mail.sjctni.edu</t>
  </si>
  <si>
    <t>-</t>
  </si>
  <si>
    <t>24pds811</t>
  </si>
  <si>
    <t xml:space="preserve">Ellen Babusha R </t>
  </si>
  <si>
    <t>babushoba119@gmail.com</t>
  </si>
  <si>
    <t>24PDS815</t>
  </si>
  <si>
    <t>Aro Jocy J</t>
  </si>
  <si>
    <t>24pds815@mail.sjctni.edu</t>
  </si>
  <si>
    <t>24PDS850</t>
  </si>
  <si>
    <t>S.Poovizhi Devi</t>
  </si>
  <si>
    <t>24pds850@mail.sjctni.edu</t>
  </si>
  <si>
    <t>24PDS814</t>
  </si>
  <si>
    <t>Jayasuriya P</t>
  </si>
  <si>
    <t>24PDS814@mail.sjctni.edu</t>
  </si>
  <si>
    <t>24PDS843</t>
  </si>
  <si>
    <t>Divyadharshini R</t>
  </si>
  <si>
    <t>divyadhanam2021@gmail.com</t>
  </si>
  <si>
    <t>24PDS836</t>
  </si>
  <si>
    <t>Dhatchayini K</t>
  </si>
  <si>
    <t>24pds836@mail.sjctni.edu</t>
  </si>
  <si>
    <t>24pds856</t>
  </si>
  <si>
    <t xml:space="preserve">Edin Jovith R </t>
  </si>
  <si>
    <t>rejovith@gmail.com</t>
  </si>
  <si>
    <t>24pds852</t>
  </si>
  <si>
    <t>Andrew L</t>
  </si>
  <si>
    <t>24pds852@mail.sjctni.edu</t>
  </si>
  <si>
    <t>24PDS859</t>
  </si>
  <si>
    <t xml:space="preserve">Michline Rachel A </t>
  </si>
  <si>
    <t>24pds859@mail.sjctni.edu</t>
  </si>
  <si>
    <t>24pds821</t>
  </si>
  <si>
    <t>Induja S</t>
  </si>
  <si>
    <t>24pds821@mail.sjctni.edu</t>
  </si>
  <si>
    <t>24PDS851</t>
  </si>
  <si>
    <t>Vinu V</t>
  </si>
  <si>
    <t>24pds851@mail.sjctni.edu</t>
  </si>
  <si>
    <t>24PDS831</t>
  </si>
  <si>
    <t xml:space="preserve">Sowmiya Roseline Y </t>
  </si>
  <si>
    <t>24pds831@mail.sjctni.edu</t>
  </si>
  <si>
    <t>24PDS827</t>
  </si>
  <si>
    <t>JENOFA ANGEL L</t>
  </si>
  <si>
    <t>24pds827@mail.sjctni.edu</t>
  </si>
  <si>
    <t xml:space="preserve">24PDS849 </t>
  </si>
  <si>
    <t xml:space="preserve">Mohamed Shighash </t>
  </si>
  <si>
    <t>24pds849@mail.sjctni.edu</t>
  </si>
  <si>
    <t>24PDS822</t>
  </si>
  <si>
    <t xml:space="preserve">Jeevika Janet.V </t>
  </si>
  <si>
    <t>24pds822@mail.sjctni.edu</t>
  </si>
  <si>
    <t>24pds840</t>
  </si>
  <si>
    <t>Sanjeevaravind C</t>
  </si>
  <si>
    <t>24pds840@mail.sjctni.edu</t>
  </si>
  <si>
    <t>24PDS805</t>
  </si>
  <si>
    <t>ANITHA JASMINE A</t>
  </si>
  <si>
    <t>24pds805@mail.sjctni.edu</t>
  </si>
  <si>
    <t>sem1 total</t>
  </si>
  <si>
    <t>sem 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</si>
</sst>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G39">
  <tableColumns count="33">
    <tableColumn id="1" xr3:uid="{00000000-0010-0000-0000-000001000000}" name="Timestamp"/>
    <tableColumn id="2" xr3:uid="{00000000-0010-0000-0000-000002000000}" name="Register Number"/>
    <tableColumn id="3" xr3:uid="{00000000-0010-0000-0000-000003000000}" name="Name"/>
    <tableColumn id="4" xr3:uid="{00000000-0010-0000-0000-000004000000}" name="Gender"/>
    <tableColumn id="5" xr3:uid="{00000000-0010-0000-0000-000005000000}" name="Email (Institutional)"/>
    <tableColumn id="6" xr3:uid="{00000000-0010-0000-0000-000006000000}" name="23PDS1CC01 (FDS) - CIA"/>
    <tableColumn id="7" xr3:uid="{00000000-0010-0000-0000-000007000000}" name="23PDS1CC01 (FDS) - SEM"/>
    <tableColumn id="8" xr3:uid="{00000000-0010-0000-0000-000008000000}" name="23PDS1CC02 (MDS) - CIA"/>
    <tableColumn id="9" xr3:uid="{00000000-0010-0000-0000-000009000000}" name="23PDS1CC02 (MDS) - SEM"/>
    <tableColumn id="10" xr3:uid="{00000000-0010-0000-0000-00000A000000}" name="23PDS1CC03 (Stat - 1) - CIA"/>
    <tableColumn id="11" xr3:uid="{00000000-0010-0000-0000-00000B000000}" name="23PDS1CC03 (Stat - 1) - Sem"/>
    <tableColumn id="12" xr3:uid="{00000000-0010-0000-0000-00000C000000}" name="23PDS1ES01 (DSA) - CIA"/>
    <tableColumn id="13" xr3:uid="{00000000-0010-0000-0000-00000D000000}" name="23PDS1ES01 (DS) - Sem"/>
    <tableColumn id="14" xr3:uid="{00000000-0010-0000-0000-00000E000000}" name="23PDS1ES02 (Java) - CIA"/>
    <tableColumn id="15" xr3:uid="{00000000-0010-0000-0000-00000F000000}" name="23PDS1ES02 (Java) - Sem"/>
    <tableColumn id="16" xr3:uid="{00000000-0010-0000-0000-000010000000}" name="23PDS1AE01 (DSE) - CIA"/>
    <tableColumn id="17" xr3:uid="{00000000-0010-0000-0000-000011000000}" name="23PDS2CC04 (Stat - 2) - CIA"/>
    <tableColumn id="18" xr3:uid="{00000000-0010-0000-0000-000012000000}" name="23PDS2CC04 (Stat - 2) - Sem"/>
    <tableColumn id="19" xr3:uid="{00000000-0010-0000-0000-000013000000}" name="23PDS2CC05 (Python) - CIA "/>
    <tableColumn id="20" xr3:uid="{00000000-0010-0000-0000-000014000000}" name="23PDS2CC05 (Python) - Sem"/>
    <tableColumn id="21" xr3:uid="{00000000-0010-0000-0000-000015000000}" name="23PDS2CP01 (Python Prac) - CIA"/>
    <tableColumn id="22" xr3:uid="{00000000-0010-0000-0000-000016000000}" name="23PDS2CP01 (Python Prac) - Sem"/>
    <tableColumn id="23" xr3:uid="{00000000-0010-0000-0000-000017000000}" name="23PDS2CP02 (R Prog) - CIA"/>
    <tableColumn id="24" xr3:uid="{00000000-0010-0000-0000-000018000000}" name="23PDS2CP02 (R Prog) - Sem"/>
    <tableColumn id="25" xr3:uid="{00000000-0010-0000-0000-000019000000}" name="23PDS2SP01 (SP MEAN) - CIA"/>
    <tableColumn id="26" xr3:uid="{00000000-0010-0000-0000-00001A000000}" name="23PDS2SP01 (SP MEAN) - Sem"/>
    <tableColumn id="27" xr3:uid="{00000000-0010-0000-0000-00001B000000}" name="23PDS2ES03B (DS) - CIA"/>
    <tableColumn id="28" xr3:uid="{00000000-0010-0000-0000-00001C000000}" name="23PDS2ES03B (DS) - Sem"/>
    <tableColumn id="29" xr3:uid="{00000000-0010-0000-0000-00001D000000}" name="23PSS2SE01 (SS) - CIA"/>
    <tableColumn id="30" xr3:uid="{00000000-0010-0000-0000-00001E000000}" name="23PDS2EG01 (DM) - CIA"/>
    <tableColumn id="31" xr3:uid="{00000000-0010-0000-0000-00001F000000}" name="23PDS2EG01 (DM) - Sem"/>
    <tableColumn id="32" xr3:uid="{23D9DCB8-AAB1-431D-B47E-B5DAEBC85613}" name="sem1 total" dataDxfId="1">
      <calculatedColumnFormula>SUM(Form_Responses[[#This Row],[23PDS1CC01 (FDS) - CIA]:[23PDS1AE01 (DSE) - CIA]])</calculatedColumnFormula>
    </tableColumn>
    <tableColumn id="33" xr3:uid="{A2BD9725-A900-4CB2-A4B7-1BEE0EF9767F}" name="sem 2 total" dataDxfId="0">
      <calculatedColumnFormula>SUM(Form_Responses[[#This Row],[23PDS2CC04 (Stat - 2) - CIA]:[23PDS2EG01 (DM) - Sem]])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9"/>
  <sheetViews>
    <sheetView tabSelected="1" topLeftCell="AA1" workbookViewId="0">
      <pane ySplit="1" topLeftCell="A34" activePane="bottomLeft" state="frozen"/>
      <selection pane="bottomLeft" activeCell="AG34" sqref="AG34"/>
    </sheetView>
  </sheetViews>
  <sheetFormatPr defaultColWidth="12.6328125" defaultRowHeight="15.75" customHeight="1" x14ac:dyDescent="0.25"/>
  <cols>
    <col min="1" max="4" width="18.90625" customWidth="1"/>
    <col min="5" max="5" width="19.453125" customWidth="1"/>
    <col min="6" max="6" width="23.453125" customWidth="1"/>
    <col min="7" max="7" width="24.08984375" customWidth="1"/>
    <col min="8" max="8" width="24" customWidth="1"/>
    <col min="9" max="9" width="24.7265625" customWidth="1"/>
    <col min="10" max="10" width="25.6328125" customWidth="1"/>
    <col min="11" max="11" width="26.26953125" customWidth="1"/>
    <col min="12" max="12" width="23.36328125" customWidth="1"/>
    <col min="13" max="13" width="23" customWidth="1"/>
    <col min="14" max="14" width="23.7265625" customWidth="1"/>
    <col min="15" max="15" width="24.36328125" customWidth="1"/>
    <col min="16" max="16" width="23.36328125" customWidth="1"/>
    <col min="17" max="17" width="25.6328125" customWidth="1"/>
    <col min="18" max="18" width="26.26953125" customWidth="1"/>
    <col min="19" max="19" width="26" customWidth="1"/>
    <col min="20" max="20" width="26.26953125" customWidth="1"/>
    <col min="21" max="21" width="29.26953125" customWidth="1"/>
    <col min="22" max="22" width="29.90625" customWidth="1"/>
    <col min="23" max="23" width="25.26953125" customWidth="1"/>
    <col min="24" max="24" width="26" customWidth="1"/>
    <col min="25" max="25" width="27.36328125" customWidth="1"/>
    <col min="26" max="26" width="28" customWidth="1"/>
    <col min="27" max="27" width="23.36328125" customWidth="1"/>
    <col min="28" max="28" width="24" customWidth="1"/>
    <col min="29" max="29" width="22.08984375" customWidth="1"/>
    <col min="30" max="30" width="22.90625" customWidth="1"/>
    <col min="31" max="31" width="23.6328125" customWidth="1"/>
    <col min="32" max="37" width="18.90625" customWidth="1"/>
  </cols>
  <sheetData>
    <row r="1" spans="1:3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t="s">
        <v>148</v>
      </c>
      <c r="AG1" t="s">
        <v>149</v>
      </c>
    </row>
    <row r="2" spans="1:33" ht="15.75" customHeight="1" x14ac:dyDescent="0.25">
      <c r="A2" s="4">
        <v>45874.492390081017</v>
      </c>
      <c r="B2" s="5" t="s">
        <v>31</v>
      </c>
      <c r="C2" s="5" t="s">
        <v>32</v>
      </c>
      <c r="D2" s="5" t="s">
        <v>33</v>
      </c>
      <c r="E2" s="5" t="s">
        <v>34</v>
      </c>
      <c r="F2" s="5">
        <v>65</v>
      </c>
      <c r="G2" s="5">
        <v>66</v>
      </c>
      <c r="H2" s="5">
        <v>68</v>
      </c>
      <c r="I2" s="5">
        <v>70</v>
      </c>
      <c r="J2" s="5">
        <v>77</v>
      </c>
      <c r="K2" s="5">
        <v>82</v>
      </c>
      <c r="L2" s="5">
        <v>68</v>
      </c>
      <c r="M2" s="5">
        <v>69</v>
      </c>
      <c r="N2" s="5">
        <v>71</v>
      </c>
      <c r="O2" s="5">
        <v>54</v>
      </c>
      <c r="P2" s="5">
        <v>75</v>
      </c>
      <c r="Q2" s="5">
        <v>89</v>
      </c>
      <c r="R2" s="5">
        <v>79</v>
      </c>
      <c r="S2" s="5">
        <v>78</v>
      </c>
      <c r="T2" s="5">
        <v>71</v>
      </c>
      <c r="U2" s="5">
        <v>83</v>
      </c>
      <c r="V2" s="5">
        <v>82</v>
      </c>
      <c r="W2" s="5">
        <v>96</v>
      </c>
      <c r="X2" s="5">
        <v>92</v>
      </c>
      <c r="Y2" s="5">
        <v>84</v>
      </c>
      <c r="Z2" s="5">
        <v>58</v>
      </c>
      <c r="AA2" s="5">
        <v>75</v>
      </c>
      <c r="AB2" s="5">
        <v>56</v>
      </c>
      <c r="AC2" s="5">
        <v>83</v>
      </c>
      <c r="AD2" s="5">
        <v>65</v>
      </c>
      <c r="AE2" s="6">
        <v>77</v>
      </c>
      <c r="AF2">
        <f>SUM(Form_Responses[[#This Row],[23PDS1CC01 (FDS) - CIA]:[23PDS1AE01 (DSE) - CIA]])</f>
        <v>765</v>
      </c>
      <c r="AG2">
        <f>SUM(Form_Responses[[#This Row],[23PDS2CC04 (Stat - 2) - CIA]:[23PDS2EG01 (DM) - Sem]])</f>
        <v>1168</v>
      </c>
    </row>
    <row r="3" spans="1:33" ht="15.75" customHeight="1" x14ac:dyDescent="0.25">
      <c r="A3" s="7">
        <v>45874.494208472221</v>
      </c>
      <c r="B3" s="8" t="s">
        <v>35</v>
      </c>
      <c r="C3" s="8" t="s">
        <v>36</v>
      </c>
      <c r="D3" s="8" t="s">
        <v>33</v>
      </c>
      <c r="E3" s="8" t="s">
        <v>37</v>
      </c>
      <c r="F3" s="8">
        <v>61</v>
      </c>
      <c r="G3" s="8">
        <v>66</v>
      </c>
      <c r="H3" s="8">
        <v>50</v>
      </c>
      <c r="I3" s="8">
        <v>54</v>
      </c>
      <c r="J3" s="8">
        <v>65</v>
      </c>
      <c r="K3" s="8">
        <v>50</v>
      </c>
      <c r="L3" s="8">
        <v>58</v>
      </c>
      <c r="M3" s="8">
        <v>66</v>
      </c>
      <c r="N3" s="8">
        <v>76</v>
      </c>
      <c r="O3" s="8">
        <v>63</v>
      </c>
      <c r="P3" s="8">
        <v>83</v>
      </c>
      <c r="Q3" s="8">
        <v>63</v>
      </c>
      <c r="R3" s="8">
        <v>54</v>
      </c>
      <c r="S3" s="8">
        <v>62</v>
      </c>
      <c r="T3" s="8">
        <v>61</v>
      </c>
      <c r="U3" s="8">
        <v>80</v>
      </c>
      <c r="V3" s="8">
        <v>77</v>
      </c>
      <c r="W3" s="8">
        <v>92</v>
      </c>
      <c r="X3" s="8">
        <v>95</v>
      </c>
      <c r="Y3" s="8">
        <v>96</v>
      </c>
      <c r="Z3" s="8">
        <v>56</v>
      </c>
      <c r="AA3" s="8">
        <v>74</v>
      </c>
      <c r="AB3" s="8">
        <v>70</v>
      </c>
      <c r="AC3" s="8">
        <v>84</v>
      </c>
      <c r="AD3" s="8">
        <v>51</v>
      </c>
      <c r="AE3" s="9">
        <v>58</v>
      </c>
      <c r="AF3">
        <f>SUM(Form_Responses[[#This Row],[23PDS1CC01 (FDS) - CIA]:[23PDS1AE01 (DSE) - CIA]])</f>
        <v>692</v>
      </c>
      <c r="AG3">
        <f>SUM(Form_Responses[[#This Row],[23PDS2CC04 (Stat - 2) - CIA]:[23PDS2EG01 (DM) - Sem]])</f>
        <v>1073</v>
      </c>
    </row>
    <row r="4" spans="1:33" ht="15.75" customHeight="1" x14ac:dyDescent="0.25">
      <c r="A4" s="4">
        <v>45874.495750416667</v>
      </c>
      <c r="B4" s="5" t="s">
        <v>38</v>
      </c>
      <c r="C4" s="5" t="s">
        <v>39</v>
      </c>
      <c r="D4" s="5" t="s">
        <v>40</v>
      </c>
      <c r="E4" s="5" t="s">
        <v>41</v>
      </c>
      <c r="F4" s="5">
        <v>62</v>
      </c>
      <c r="G4" s="5">
        <v>51</v>
      </c>
      <c r="H4" s="5">
        <v>65</v>
      </c>
      <c r="I4" s="5">
        <v>50</v>
      </c>
      <c r="J4" s="5">
        <v>73</v>
      </c>
      <c r="K4" s="5">
        <v>58</v>
      </c>
      <c r="L4" s="5">
        <v>63</v>
      </c>
      <c r="M4" s="5">
        <v>61</v>
      </c>
      <c r="N4" s="5">
        <v>61</v>
      </c>
      <c r="O4" s="5">
        <v>53</v>
      </c>
      <c r="P4" s="5">
        <v>74</v>
      </c>
      <c r="Q4" s="5">
        <v>56</v>
      </c>
      <c r="R4" s="5">
        <v>50</v>
      </c>
      <c r="S4" s="5">
        <v>53</v>
      </c>
      <c r="T4" s="5">
        <v>64</v>
      </c>
      <c r="U4" s="5">
        <v>81</v>
      </c>
      <c r="V4" s="5">
        <v>81</v>
      </c>
      <c r="W4" s="5">
        <v>94</v>
      </c>
      <c r="X4" s="5">
        <v>95</v>
      </c>
      <c r="Y4" s="5">
        <v>86</v>
      </c>
      <c r="Z4" s="5">
        <v>60</v>
      </c>
      <c r="AA4" s="5">
        <v>71</v>
      </c>
      <c r="AB4" s="5">
        <v>64</v>
      </c>
      <c r="AC4" s="5">
        <v>81</v>
      </c>
      <c r="AD4" s="5">
        <v>50</v>
      </c>
      <c r="AE4" s="6">
        <v>53</v>
      </c>
      <c r="AF4">
        <f>SUM(Form_Responses[[#This Row],[23PDS1CC01 (FDS) - CIA]:[23PDS1AE01 (DSE) - CIA]])</f>
        <v>671</v>
      </c>
      <c r="AG4">
        <f>SUM(Form_Responses[[#This Row],[23PDS2CC04 (Stat - 2) - CIA]:[23PDS2EG01 (DM) - Sem]])</f>
        <v>1039</v>
      </c>
    </row>
    <row r="5" spans="1:33" ht="15.75" customHeight="1" x14ac:dyDescent="0.25">
      <c r="A5" s="7">
        <v>45874.514409884257</v>
      </c>
      <c r="B5" s="8" t="s">
        <v>42</v>
      </c>
      <c r="C5" s="8" t="s">
        <v>43</v>
      </c>
      <c r="D5" s="8" t="s">
        <v>33</v>
      </c>
      <c r="E5" s="8" t="s">
        <v>44</v>
      </c>
      <c r="F5" s="8">
        <v>60</v>
      </c>
      <c r="G5" s="8">
        <v>53</v>
      </c>
      <c r="H5" s="8">
        <v>50</v>
      </c>
      <c r="I5" s="8">
        <v>50</v>
      </c>
      <c r="J5" s="8">
        <v>54</v>
      </c>
      <c r="K5" s="8">
        <v>51</v>
      </c>
      <c r="L5" s="8">
        <v>58</v>
      </c>
      <c r="M5" s="8">
        <v>60</v>
      </c>
      <c r="N5" s="8">
        <v>60</v>
      </c>
      <c r="O5" s="8">
        <v>55</v>
      </c>
      <c r="P5" s="8">
        <v>78</v>
      </c>
      <c r="Q5" s="8">
        <v>55</v>
      </c>
      <c r="R5" s="8">
        <v>44</v>
      </c>
      <c r="S5" s="8">
        <v>54</v>
      </c>
      <c r="T5" s="8">
        <v>50</v>
      </c>
      <c r="U5" s="8">
        <v>81</v>
      </c>
      <c r="V5" s="8">
        <v>78</v>
      </c>
      <c r="W5" s="8">
        <v>88</v>
      </c>
      <c r="X5" s="8">
        <v>94</v>
      </c>
      <c r="Y5" s="8">
        <v>70</v>
      </c>
      <c r="Z5" s="8">
        <v>50</v>
      </c>
      <c r="AA5" s="8">
        <v>74</v>
      </c>
      <c r="AB5" s="8">
        <v>61</v>
      </c>
      <c r="AC5" s="8">
        <v>77</v>
      </c>
      <c r="AD5" s="8">
        <v>55</v>
      </c>
      <c r="AE5" s="9">
        <v>53</v>
      </c>
      <c r="AF5">
        <f>SUM(Form_Responses[[#This Row],[23PDS1CC01 (FDS) - CIA]:[23PDS1AE01 (DSE) - CIA]])</f>
        <v>629</v>
      </c>
      <c r="AG5">
        <f>SUM(Form_Responses[[#This Row],[23PDS2CC04 (Stat - 2) - CIA]:[23PDS2EG01 (DM) - Sem]])</f>
        <v>984</v>
      </c>
    </row>
    <row r="6" spans="1:33" ht="15.75" customHeight="1" x14ac:dyDescent="0.25">
      <c r="A6" s="4">
        <v>45874.598430625003</v>
      </c>
      <c r="B6" s="5" t="s">
        <v>45</v>
      </c>
      <c r="C6" s="5" t="s">
        <v>46</v>
      </c>
      <c r="D6" s="5" t="s">
        <v>40</v>
      </c>
      <c r="E6" s="5" t="s">
        <v>47</v>
      </c>
      <c r="F6" s="5">
        <v>60</v>
      </c>
      <c r="G6" s="5">
        <v>69</v>
      </c>
      <c r="H6" s="5">
        <v>76</v>
      </c>
      <c r="I6" s="5">
        <v>65</v>
      </c>
      <c r="J6" s="5">
        <v>75</v>
      </c>
      <c r="K6" s="5">
        <v>76</v>
      </c>
      <c r="L6" s="5">
        <v>74</v>
      </c>
      <c r="M6" s="5">
        <v>76</v>
      </c>
      <c r="N6" s="5">
        <v>69</v>
      </c>
      <c r="O6" s="5">
        <v>62</v>
      </c>
      <c r="P6" s="5">
        <v>76</v>
      </c>
      <c r="Q6" s="5">
        <v>74</v>
      </c>
      <c r="R6" s="5">
        <v>59</v>
      </c>
      <c r="S6" s="5">
        <v>72</v>
      </c>
      <c r="T6" s="5">
        <v>78</v>
      </c>
      <c r="U6" s="5">
        <v>85</v>
      </c>
      <c r="V6" s="5">
        <v>82</v>
      </c>
      <c r="W6" s="5">
        <v>96</v>
      </c>
      <c r="X6" s="5">
        <v>96</v>
      </c>
      <c r="Y6" s="5">
        <v>96</v>
      </c>
      <c r="Z6" s="5">
        <v>66</v>
      </c>
      <c r="AA6" s="5">
        <v>81</v>
      </c>
      <c r="AB6" s="5">
        <v>76</v>
      </c>
      <c r="AC6" s="5">
        <v>84</v>
      </c>
      <c r="AD6" s="5">
        <v>67</v>
      </c>
      <c r="AE6" s="6">
        <v>72</v>
      </c>
      <c r="AF6">
        <f>SUM(Form_Responses[[#This Row],[23PDS1CC01 (FDS) - CIA]:[23PDS1AE01 (DSE) - CIA]])</f>
        <v>778</v>
      </c>
      <c r="AG6">
        <f>SUM(Form_Responses[[#This Row],[23PDS2CC04 (Stat - 2) - CIA]:[23PDS2EG01 (DM) - Sem]])</f>
        <v>1184</v>
      </c>
    </row>
    <row r="7" spans="1:33" ht="15.75" customHeight="1" x14ac:dyDescent="0.25">
      <c r="A7" s="7">
        <v>45874.831997465277</v>
      </c>
      <c r="B7" s="8" t="s">
        <v>48</v>
      </c>
      <c r="C7" s="8" t="s">
        <v>49</v>
      </c>
      <c r="D7" s="8" t="s">
        <v>40</v>
      </c>
      <c r="E7" s="8" t="s">
        <v>50</v>
      </c>
      <c r="F7" s="8">
        <v>61</v>
      </c>
      <c r="G7" s="8">
        <v>56</v>
      </c>
      <c r="H7" s="8">
        <v>50</v>
      </c>
      <c r="I7" s="8">
        <v>50</v>
      </c>
      <c r="J7" s="8">
        <v>58</v>
      </c>
      <c r="K7" s="8">
        <v>52</v>
      </c>
      <c r="L7" s="8">
        <v>60</v>
      </c>
      <c r="M7" s="8">
        <v>60</v>
      </c>
      <c r="N7" s="8">
        <v>67</v>
      </c>
      <c r="O7" s="8">
        <v>53</v>
      </c>
      <c r="P7" s="8">
        <v>77</v>
      </c>
      <c r="Q7" s="8">
        <v>59</v>
      </c>
      <c r="R7" s="8">
        <v>50</v>
      </c>
      <c r="S7" s="8">
        <v>60</v>
      </c>
      <c r="T7" s="8">
        <v>61</v>
      </c>
      <c r="U7" s="8">
        <v>84</v>
      </c>
      <c r="V7" s="8">
        <v>83</v>
      </c>
      <c r="W7" s="8">
        <v>88</v>
      </c>
      <c r="X7" s="8">
        <v>90</v>
      </c>
      <c r="Y7" s="8">
        <v>74</v>
      </c>
      <c r="Z7" s="8">
        <v>56</v>
      </c>
      <c r="AA7" s="8">
        <v>75</v>
      </c>
      <c r="AB7" s="8">
        <v>53</v>
      </c>
      <c r="AC7" s="8">
        <v>81</v>
      </c>
      <c r="AD7" s="8">
        <v>50</v>
      </c>
      <c r="AE7" s="9">
        <v>50</v>
      </c>
      <c r="AF7">
        <f>SUM(Form_Responses[[#This Row],[23PDS1CC01 (FDS) - CIA]:[23PDS1AE01 (DSE) - CIA]])</f>
        <v>644</v>
      </c>
      <c r="AG7">
        <f>SUM(Form_Responses[[#This Row],[23PDS2CC04 (Stat - 2) - CIA]:[23PDS2EG01 (DM) - Sem]])</f>
        <v>1014</v>
      </c>
    </row>
    <row r="8" spans="1:33" ht="15.75" customHeight="1" x14ac:dyDescent="0.25">
      <c r="A8" s="4">
        <v>45874.838605856479</v>
      </c>
      <c r="B8" s="5" t="s">
        <v>51</v>
      </c>
      <c r="C8" s="5" t="s">
        <v>52</v>
      </c>
      <c r="D8" s="5" t="s">
        <v>33</v>
      </c>
      <c r="E8" s="5" t="s">
        <v>53</v>
      </c>
      <c r="F8" s="5">
        <v>61</v>
      </c>
      <c r="G8" s="5">
        <v>63</v>
      </c>
      <c r="H8" s="5">
        <v>50</v>
      </c>
      <c r="I8" s="5">
        <v>58</v>
      </c>
      <c r="J8" s="5">
        <v>78</v>
      </c>
      <c r="K8" s="5">
        <v>75</v>
      </c>
      <c r="L8" s="5">
        <v>69</v>
      </c>
      <c r="M8" s="5">
        <v>71</v>
      </c>
      <c r="N8" s="5">
        <v>75</v>
      </c>
      <c r="O8" s="5">
        <v>68</v>
      </c>
      <c r="P8" s="5">
        <v>75</v>
      </c>
      <c r="Q8" s="5">
        <v>83</v>
      </c>
      <c r="R8" s="5">
        <v>66</v>
      </c>
      <c r="S8" s="5">
        <v>67</v>
      </c>
      <c r="T8" s="5">
        <v>76</v>
      </c>
      <c r="U8" s="5">
        <v>81</v>
      </c>
      <c r="V8" s="5">
        <v>80</v>
      </c>
      <c r="W8" s="5">
        <v>90</v>
      </c>
      <c r="X8" s="5">
        <v>94</v>
      </c>
      <c r="Y8" s="5">
        <v>88</v>
      </c>
      <c r="Z8" s="5">
        <v>64</v>
      </c>
      <c r="AA8" s="5">
        <v>78</v>
      </c>
      <c r="AB8" s="5">
        <v>67</v>
      </c>
      <c r="AC8" s="5">
        <v>81</v>
      </c>
      <c r="AD8" s="5">
        <v>60</v>
      </c>
      <c r="AE8" s="6">
        <v>72</v>
      </c>
      <c r="AF8">
        <f>SUM(Form_Responses[[#This Row],[23PDS1CC01 (FDS) - CIA]:[23PDS1AE01 (DSE) - CIA]])</f>
        <v>743</v>
      </c>
      <c r="AG8">
        <f>SUM(Form_Responses[[#This Row],[23PDS2CC04 (Stat - 2) - CIA]:[23PDS2EG01 (DM) - Sem]])</f>
        <v>1147</v>
      </c>
    </row>
    <row r="9" spans="1:33" ht="15.75" customHeight="1" x14ac:dyDescent="0.25">
      <c r="A9" s="7">
        <v>45874.853531273147</v>
      </c>
      <c r="B9" s="8" t="s">
        <v>54</v>
      </c>
      <c r="C9" s="8" t="s">
        <v>55</v>
      </c>
      <c r="D9" s="8" t="s">
        <v>33</v>
      </c>
      <c r="E9" s="8" t="s">
        <v>56</v>
      </c>
      <c r="F9" s="8">
        <v>66</v>
      </c>
      <c r="G9" s="8">
        <v>61</v>
      </c>
      <c r="H9" s="8">
        <v>50</v>
      </c>
      <c r="I9" s="8">
        <v>50</v>
      </c>
      <c r="J9" s="8">
        <v>64</v>
      </c>
      <c r="K9" s="8">
        <v>56</v>
      </c>
      <c r="L9" s="8">
        <v>68</v>
      </c>
      <c r="M9" s="8">
        <v>62</v>
      </c>
      <c r="N9" s="8">
        <v>82</v>
      </c>
      <c r="O9" s="8">
        <v>67</v>
      </c>
      <c r="P9" s="8">
        <v>80</v>
      </c>
      <c r="Q9" s="8">
        <v>62</v>
      </c>
      <c r="R9" s="8">
        <v>53</v>
      </c>
      <c r="S9" s="8">
        <v>64</v>
      </c>
      <c r="T9" s="8">
        <v>59</v>
      </c>
      <c r="U9" s="8">
        <v>81</v>
      </c>
      <c r="V9" s="8">
        <v>78</v>
      </c>
      <c r="W9" s="8">
        <v>98</v>
      </c>
      <c r="X9" s="8">
        <v>98</v>
      </c>
      <c r="Y9" s="8">
        <v>94</v>
      </c>
      <c r="Z9" s="8">
        <v>74</v>
      </c>
      <c r="AA9" s="8">
        <v>81</v>
      </c>
      <c r="AB9" s="8">
        <v>60</v>
      </c>
      <c r="AC9" s="8">
        <v>84</v>
      </c>
      <c r="AD9" s="8">
        <v>60</v>
      </c>
      <c r="AE9" s="9">
        <v>40</v>
      </c>
      <c r="AF9">
        <f>SUM(Form_Responses[[#This Row],[23PDS1CC01 (FDS) - CIA]:[23PDS1AE01 (DSE) - CIA]])</f>
        <v>706</v>
      </c>
      <c r="AG9">
        <f>SUM(Form_Responses[[#This Row],[23PDS2CC04 (Stat - 2) - CIA]:[23PDS2EG01 (DM) - Sem]])</f>
        <v>1086</v>
      </c>
    </row>
    <row r="10" spans="1:33" ht="15.75" customHeight="1" x14ac:dyDescent="0.25">
      <c r="A10" s="4">
        <v>45874.86864320602</v>
      </c>
      <c r="B10" s="5" t="s">
        <v>57</v>
      </c>
      <c r="C10" s="5" t="s">
        <v>58</v>
      </c>
      <c r="D10" s="5" t="s">
        <v>40</v>
      </c>
      <c r="E10" s="5" t="s">
        <v>59</v>
      </c>
      <c r="F10" s="5">
        <v>57</v>
      </c>
      <c r="G10" s="5">
        <v>50</v>
      </c>
      <c r="H10" s="5">
        <v>59</v>
      </c>
      <c r="I10" s="5">
        <v>55</v>
      </c>
      <c r="J10" s="5">
        <v>76</v>
      </c>
      <c r="K10" s="5">
        <v>69</v>
      </c>
      <c r="L10" s="5">
        <v>70</v>
      </c>
      <c r="M10" s="5">
        <v>64</v>
      </c>
      <c r="N10" s="5">
        <v>76</v>
      </c>
      <c r="O10" s="5">
        <v>64</v>
      </c>
      <c r="P10" s="5">
        <v>73</v>
      </c>
      <c r="Q10" s="5">
        <v>81</v>
      </c>
      <c r="R10" s="5">
        <v>69</v>
      </c>
      <c r="S10" s="5">
        <v>63</v>
      </c>
      <c r="T10" s="5">
        <v>62</v>
      </c>
      <c r="U10" s="5">
        <v>81</v>
      </c>
      <c r="V10" s="5">
        <v>80</v>
      </c>
      <c r="W10" s="5">
        <v>98</v>
      </c>
      <c r="X10" s="5">
        <v>93</v>
      </c>
      <c r="Y10" s="5">
        <v>88</v>
      </c>
      <c r="Z10" s="5">
        <v>52</v>
      </c>
      <c r="AA10" s="5">
        <v>81</v>
      </c>
      <c r="AB10" s="5">
        <v>69</v>
      </c>
      <c r="AC10" s="5">
        <v>82</v>
      </c>
      <c r="AD10" s="5">
        <v>57</v>
      </c>
      <c r="AE10" s="6">
        <v>80</v>
      </c>
      <c r="AF10">
        <f>SUM(Form_Responses[[#This Row],[23PDS1CC01 (FDS) - CIA]:[23PDS1AE01 (DSE) - CIA]])</f>
        <v>713</v>
      </c>
      <c r="AG10">
        <f>SUM(Form_Responses[[#This Row],[23PDS2CC04 (Stat - 2) - CIA]:[23PDS2EG01 (DM) - Sem]])</f>
        <v>1136</v>
      </c>
    </row>
    <row r="11" spans="1:33" ht="15.75" customHeight="1" x14ac:dyDescent="0.25">
      <c r="A11" s="7">
        <v>45874.87353783565</v>
      </c>
      <c r="B11" s="8" t="s">
        <v>60</v>
      </c>
      <c r="C11" s="8" t="s">
        <v>61</v>
      </c>
      <c r="D11" s="8" t="s">
        <v>33</v>
      </c>
      <c r="E11" s="8" t="s">
        <v>62</v>
      </c>
      <c r="F11" s="8">
        <v>63</v>
      </c>
      <c r="G11" s="8">
        <v>64</v>
      </c>
      <c r="H11" s="8">
        <v>73</v>
      </c>
      <c r="I11" s="8">
        <v>78</v>
      </c>
      <c r="J11" s="8">
        <v>83</v>
      </c>
      <c r="K11" s="8">
        <v>88</v>
      </c>
      <c r="L11" s="8">
        <v>73</v>
      </c>
      <c r="M11" s="8">
        <v>77</v>
      </c>
      <c r="N11" s="8">
        <v>76</v>
      </c>
      <c r="O11" s="8">
        <v>63</v>
      </c>
      <c r="P11" s="8">
        <v>82</v>
      </c>
      <c r="Q11" s="8">
        <v>84</v>
      </c>
      <c r="R11" s="8">
        <v>78</v>
      </c>
      <c r="S11" s="8">
        <v>81</v>
      </c>
      <c r="T11" s="8">
        <v>79</v>
      </c>
      <c r="U11" s="8">
        <v>80</v>
      </c>
      <c r="V11" s="8">
        <v>78</v>
      </c>
      <c r="W11" s="8">
        <v>100</v>
      </c>
      <c r="X11" s="8">
        <v>93</v>
      </c>
      <c r="Y11" s="8">
        <v>80</v>
      </c>
      <c r="Z11" s="8">
        <v>62</v>
      </c>
      <c r="AA11" s="8">
        <v>76</v>
      </c>
      <c r="AB11" s="8">
        <v>69</v>
      </c>
      <c r="AC11" s="8">
        <v>86</v>
      </c>
      <c r="AD11" s="8">
        <v>83</v>
      </c>
      <c r="AE11" s="9">
        <v>88</v>
      </c>
      <c r="AF11">
        <f>SUM(Form_Responses[[#This Row],[23PDS1CC01 (FDS) - CIA]:[23PDS1AE01 (DSE) - CIA]])</f>
        <v>820</v>
      </c>
      <c r="AG11">
        <f>SUM(Form_Responses[[#This Row],[23PDS2CC04 (Stat - 2) - CIA]:[23PDS2EG01 (DM) - Sem]])</f>
        <v>1217</v>
      </c>
    </row>
    <row r="12" spans="1:33" ht="15.75" customHeight="1" x14ac:dyDescent="0.25">
      <c r="A12" s="4">
        <v>45874.904060347224</v>
      </c>
      <c r="B12" s="5" t="s">
        <v>63</v>
      </c>
      <c r="C12" s="5" t="s">
        <v>64</v>
      </c>
      <c r="D12" s="5" t="s">
        <v>33</v>
      </c>
      <c r="E12" s="5" t="s">
        <v>65</v>
      </c>
      <c r="F12" s="5">
        <v>64</v>
      </c>
      <c r="G12" s="5">
        <v>50</v>
      </c>
      <c r="H12" s="5">
        <v>52</v>
      </c>
      <c r="I12" s="5">
        <v>54</v>
      </c>
      <c r="J12" s="5">
        <v>62</v>
      </c>
      <c r="K12" s="5">
        <v>70</v>
      </c>
      <c r="L12" s="5">
        <v>79</v>
      </c>
      <c r="M12" s="5">
        <v>78</v>
      </c>
      <c r="N12" s="5">
        <v>73</v>
      </c>
      <c r="O12" s="5">
        <v>66</v>
      </c>
      <c r="P12" s="5">
        <v>85</v>
      </c>
      <c r="Q12" s="5">
        <v>67</v>
      </c>
      <c r="R12" s="5">
        <v>43</v>
      </c>
      <c r="S12" s="5">
        <v>70</v>
      </c>
      <c r="T12" s="5">
        <v>73</v>
      </c>
      <c r="U12" s="5">
        <v>83</v>
      </c>
      <c r="V12" s="5">
        <v>81</v>
      </c>
      <c r="W12" s="5">
        <v>98</v>
      </c>
      <c r="X12" s="5">
        <v>99</v>
      </c>
      <c r="Y12" s="5">
        <v>88</v>
      </c>
      <c r="Z12" s="5">
        <v>58</v>
      </c>
      <c r="AA12" s="5">
        <v>84</v>
      </c>
      <c r="AB12" s="5">
        <v>69</v>
      </c>
      <c r="AC12" s="5">
        <v>84</v>
      </c>
      <c r="AD12" s="5">
        <v>64</v>
      </c>
      <c r="AE12" s="6">
        <v>63</v>
      </c>
      <c r="AF12">
        <f>SUM(Form_Responses[[#This Row],[23PDS1CC01 (FDS) - CIA]:[23PDS1AE01 (DSE) - CIA]])</f>
        <v>733</v>
      </c>
      <c r="AG12">
        <f>SUM(Form_Responses[[#This Row],[23PDS2CC04 (Stat - 2) - CIA]:[23PDS2EG01 (DM) - Sem]])</f>
        <v>1124</v>
      </c>
    </row>
    <row r="13" spans="1:33" ht="15.75" customHeight="1" x14ac:dyDescent="0.25">
      <c r="A13" s="7">
        <v>45874.912743634261</v>
      </c>
      <c r="B13" s="8" t="s">
        <v>66</v>
      </c>
      <c r="C13" s="8" t="s">
        <v>67</v>
      </c>
      <c r="D13" s="8" t="s">
        <v>40</v>
      </c>
      <c r="E13" s="8" t="s">
        <v>68</v>
      </c>
      <c r="F13" s="8">
        <v>70</v>
      </c>
      <c r="G13" s="8">
        <v>58</v>
      </c>
      <c r="H13" s="8">
        <v>71</v>
      </c>
      <c r="I13" s="8">
        <v>71</v>
      </c>
      <c r="J13" s="8">
        <v>77</v>
      </c>
      <c r="K13" s="8">
        <v>85</v>
      </c>
      <c r="L13" s="8">
        <v>69</v>
      </c>
      <c r="M13" s="8">
        <v>74</v>
      </c>
      <c r="N13" s="8">
        <v>69</v>
      </c>
      <c r="O13" s="8">
        <v>61</v>
      </c>
      <c r="P13" s="8">
        <v>74</v>
      </c>
      <c r="Q13" s="8">
        <v>82</v>
      </c>
      <c r="R13" s="8">
        <v>73</v>
      </c>
      <c r="S13" s="8">
        <v>65</v>
      </c>
      <c r="T13" s="8">
        <v>72</v>
      </c>
      <c r="U13" s="8">
        <v>85</v>
      </c>
      <c r="V13" s="8">
        <v>82</v>
      </c>
      <c r="W13" s="8">
        <v>84</v>
      </c>
      <c r="X13" s="8">
        <v>98</v>
      </c>
      <c r="Y13" s="8">
        <v>82</v>
      </c>
      <c r="Z13" s="8">
        <v>44</v>
      </c>
      <c r="AA13" s="8">
        <v>72</v>
      </c>
      <c r="AB13" s="8">
        <v>65</v>
      </c>
      <c r="AC13" s="8">
        <v>76</v>
      </c>
      <c r="AD13" s="8">
        <v>55</v>
      </c>
      <c r="AE13" s="9">
        <v>71</v>
      </c>
      <c r="AF13">
        <f>SUM(Form_Responses[[#This Row],[23PDS1CC01 (FDS) - CIA]:[23PDS1AE01 (DSE) - CIA]])</f>
        <v>779</v>
      </c>
      <c r="AG13">
        <f>SUM(Form_Responses[[#This Row],[23PDS2CC04 (Stat - 2) - CIA]:[23PDS2EG01 (DM) - Sem]])</f>
        <v>1106</v>
      </c>
    </row>
    <row r="14" spans="1:33" ht="15.75" customHeight="1" x14ac:dyDescent="0.25">
      <c r="A14" s="4">
        <v>45874.925832407404</v>
      </c>
      <c r="B14" s="5" t="s">
        <v>69</v>
      </c>
      <c r="C14" s="5" t="s">
        <v>70</v>
      </c>
      <c r="D14" s="5" t="s">
        <v>40</v>
      </c>
      <c r="E14" s="5" t="s">
        <v>71</v>
      </c>
      <c r="F14" s="5">
        <v>83</v>
      </c>
      <c r="G14" s="5">
        <v>84</v>
      </c>
      <c r="H14" s="5">
        <v>77</v>
      </c>
      <c r="I14" s="5">
        <v>68</v>
      </c>
      <c r="J14" s="5">
        <v>84</v>
      </c>
      <c r="K14" s="5">
        <v>91</v>
      </c>
      <c r="L14" s="5">
        <v>77</v>
      </c>
      <c r="M14" s="5">
        <v>71</v>
      </c>
      <c r="N14" s="5">
        <v>74</v>
      </c>
      <c r="O14" s="5">
        <v>68</v>
      </c>
      <c r="P14" s="5">
        <v>76</v>
      </c>
      <c r="Q14" s="5">
        <v>90</v>
      </c>
      <c r="R14" s="5">
        <v>90</v>
      </c>
      <c r="S14" s="5">
        <v>74</v>
      </c>
      <c r="T14" s="5">
        <v>81</v>
      </c>
      <c r="U14" s="5">
        <v>86</v>
      </c>
      <c r="V14" s="5">
        <v>81</v>
      </c>
      <c r="W14" s="5">
        <v>100</v>
      </c>
      <c r="X14" s="5">
        <v>99</v>
      </c>
      <c r="Y14" s="5">
        <v>92</v>
      </c>
      <c r="Z14" s="5">
        <v>58</v>
      </c>
      <c r="AA14" s="5">
        <v>82</v>
      </c>
      <c r="AB14" s="5">
        <v>76</v>
      </c>
      <c r="AC14" s="5">
        <v>85</v>
      </c>
      <c r="AD14" s="5">
        <v>82</v>
      </c>
      <c r="AE14" s="6">
        <v>85</v>
      </c>
      <c r="AF14">
        <f>SUM(Form_Responses[[#This Row],[23PDS1CC01 (FDS) - CIA]:[23PDS1AE01 (DSE) - CIA]])</f>
        <v>853</v>
      </c>
      <c r="AG14">
        <f>SUM(Form_Responses[[#This Row],[23PDS2CC04 (Stat - 2) - CIA]:[23PDS2EG01 (DM) - Sem]])</f>
        <v>1261</v>
      </c>
    </row>
    <row r="15" spans="1:33" ht="15.75" customHeight="1" x14ac:dyDescent="0.25">
      <c r="A15" s="7">
        <v>45875.401805092595</v>
      </c>
      <c r="B15" s="8" t="s">
        <v>72</v>
      </c>
      <c r="C15" s="8" t="s">
        <v>73</v>
      </c>
      <c r="D15" s="8" t="s">
        <v>40</v>
      </c>
      <c r="E15" s="8" t="s">
        <v>74</v>
      </c>
      <c r="F15" s="8">
        <v>52</v>
      </c>
      <c r="G15" s="8">
        <v>58</v>
      </c>
      <c r="H15" s="8">
        <v>52</v>
      </c>
      <c r="I15" s="8">
        <v>55</v>
      </c>
      <c r="J15" s="8">
        <v>70</v>
      </c>
      <c r="K15" s="8">
        <v>65</v>
      </c>
      <c r="L15" s="8">
        <v>72</v>
      </c>
      <c r="M15" s="8">
        <v>71</v>
      </c>
      <c r="N15" s="8">
        <v>74</v>
      </c>
      <c r="O15" s="8">
        <v>63</v>
      </c>
      <c r="P15" s="8">
        <v>75</v>
      </c>
      <c r="Q15" s="8">
        <v>64</v>
      </c>
      <c r="R15" s="8">
        <v>66</v>
      </c>
      <c r="S15" s="8">
        <v>68</v>
      </c>
      <c r="T15" s="8">
        <v>75</v>
      </c>
      <c r="U15" s="8">
        <v>83</v>
      </c>
      <c r="V15" s="8">
        <v>81</v>
      </c>
      <c r="W15" s="8">
        <v>90</v>
      </c>
      <c r="X15" s="8">
        <v>98</v>
      </c>
      <c r="Y15" s="8">
        <v>88</v>
      </c>
      <c r="Z15" s="8">
        <v>52</v>
      </c>
      <c r="AA15" s="8">
        <v>80</v>
      </c>
      <c r="AB15" s="8">
        <v>57</v>
      </c>
      <c r="AC15" s="8">
        <v>88</v>
      </c>
      <c r="AD15" s="8">
        <v>65</v>
      </c>
      <c r="AE15" s="9">
        <v>57</v>
      </c>
      <c r="AF15">
        <f>SUM(Form_Responses[[#This Row],[23PDS1CC01 (FDS) - CIA]:[23PDS1AE01 (DSE) - CIA]])</f>
        <v>707</v>
      </c>
      <c r="AG15">
        <f>SUM(Form_Responses[[#This Row],[23PDS2CC04 (Stat - 2) - CIA]:[23PDS2EG01 (DM) - Sem]])</f>
        <v>1112</v>
      </c>
    </row>
    <row r="16" spans="1:33" ht="15.75" customHeight="1" x14ac:dyDescent="0.25">
      <c r="A16" s="4">
        <v>45875.409191956016</v>
      </c>
      <c r="B16" s="5" t="s">
        <v>75</v>
      </c>
      <c r="C16" s="5" t="s">
        <v>76</v>
      </c>
      <c r="D16" s="5" t="s">
        <v>40</v>
      </c>
      <c r="E16" s="5" t="s">
        <v>77</v>
      </c>
      <c r="F16" s="5">
        <v>75</v>
      </c>
      <c r="G16" s="5">
        <v>88</v>
      </c>
      <c r="H16" s="5">
        <v>81</v>
      </c>
      <c r="I16" s="5">
        <v>73</v>
      </c>
      <c r="J16" s="5">
        <v>87</v>
      </c>
      <c r="K16" s="5">
        <v>91</v>
      </c>
      <c r="L16" s="5">
        <v>78</v>
      </c>
      <c r="M16" s="5">
        <v>79</v>
      </c>
      <c r="N16" s="5">
        <v>82</v>
      </c>
      <c r="O16" s="5">
        <v>74</v>
      </c>
      <c r="P16" s="5">
        <v>82</v>
      </c>
      <c r="Q16" s="5">
        <v>89</v>
      </c>
      <c r="R16" s="5">
        <v>89</v>
      </c>
      <c r="S16" s="5">
        <v>83</v>
      </c>
      <c r="T16" s="5">
        <v>85</v>
      </c>
      <c r="U16" s="5">
        <v>89</v>
      </c>
      <c r="V16" s="5">
        <v>85</v>
      </c>
      <c r="W16" s="5">
        <v>98</v>
      </c>
      <c r="X16" s="5">
        <v>98</v>
      </c>
      <c r="Y16" s="5">
        <v>90</v>
      </c>
      <c r="Z16" s="5">
        <v>66</v>
      </c>
      <c r="AA16" s="5">
        <v>85</v>
      </c>
      <c r="AB16" s="5">
        <v>69</v>
      </c>
      <c r="AC16" s="5">
        <v>84</v>
      </c>
      <c r="AD16" s="5">
        <v>81</v>
      </c>
      <c r="AE16" s="6">
        <v>89</v>
      </c>
      <c r="AF16">
        <f>SUM(Form_Responses[[#This Row],[23PDS1CC01 (FDS) - CIA]:[23PDS1AE01 (DSE) - CIA]])</f>
        <v>890</v>
      </c>
      <c r="AG16">
        <f>SUM(Form_Responses[[#This Row],[23PDS2CC04 (Stat - 2) - CIA]:[23PDS2EG01 (DM) - Sem]])</f>
        <v>1280</v>
      </c>
    </row>
    <row r="17" spans="1:33" ht="15.75" customHeight="1" x14ac:dyDescent="0.25">
      <c r="A17" s="7">
        <v>45875.41463738426</v>
      </c>
      <c r="B17" s="8" t="s">
        <v>78</v>
      </c>
      <c r="C17" s="8" t="s">
        <v>79</v>
      </c>
      <c r="D17" s="8" t="s">
        <v>33</v>
      </c>
      <c r="E17" s="8" t="s">
        <v>80</v>
      </c>
      <c r="F17" s="8">
        <v>54</v>
      </c>
      <c r="G17" s="8">
        <v>55</v>
      </c>
      <c r="H17" s="8">
        <v>50</v>
      </c>
      <c r="I17" s="8">
        <v>50</v>
      </c>
      <c r="J17" s="8">
        <v>58</v>
      </c>
      <c r="K17" s="8">
        <v>59</v>
      </c>
      <c r="L17" s="8">
        <v>62</v>
      </c>
      <c r="M17" s="8">
        <v>57</v>
      </c>
      <c r="N17" s="8">
        <v>65</v>
      </c>
      <c r="O17" s="8">
        <v>55</v>
      </c>
      <c r="P17" s="8">
        <v>77</v>
      </c>
      <c r="Q17" s="8">
        <v>56</v>
      </c>
      <c r="R17" s="8">
        <v>51</v>
      </c>
      <c r="S17" s="8">
        <v>50</v>
      </c>
      <c r="T17" s="8">
        <v>61</v>
      </c>
      <c r="U17" s="8">
        <v>80</v>
      </c>
      <c r="V17" s="8">
        <v>81</v>
      </c>
      <c r="W17" s="8">
        <v>90</v>
      </c>
      <c r="X17" s="8">
        <v>92</v>
      </c>
      <c r="Y17" s="8">
        <v>86</v>
      </c>
      <c r="Z17" s="8">
        <v>60</v>
      </c>
      <c r="AA17" s="8">
        <v>69</v>
      </c>
      <c r="AB17" s="8">
        <v>60</v>
      </c>
      <c r="AC17" s="8">
        <v>86</v>
      </c>
      <c r="AD17" s="8">
        <v>50</v>
      </c>
      <c r="AE17" s="9">
        <v>35</v>
      </c>
      <c r="AF17">
        <f>SUM(Form_Responses[[#This Row],[23PDS1CC01 (FDS) - CIA]:[23PDS1AE01 (DSE) - CIA]])</f>
        <v>642</v>
      </c>
      <c r="AG17">
        <f>SUM(Form_Responses[[#This Row],[23PDS2CC04 (Stat - 2) - CIA]:[23PDS2EG01 (DM) - Sem]])</f>
        <v>1007</v>
      </c>
    </row>
    <row r="18" spans="1:33" ht="15.75" customHeight="1" x14ac:dyDescent="0.25">
      <c r="A18" s="4">
        <v>45875.422108981482</v>
      </c>
      <c r="B18" s="5" t="s">
        <v>81</v>
      </c>
      <c r="C18" s="5" t="s">
        <v>82</v>
      </c>
      <c r="D18" s="5" t="s">
        <v>33</v>
      </c>
      <c r="E18" s="5" t="s">
        <v>83</v>
      </c>
      <c r="F18" s="5">
        <v>69</v>
      </c>
      <c r="G18" s="5">
        <v>65</v>
      </c>
      <c r="H18" s="5">
        <v>65</v>
      </c>
      <c r="I18" s="5">
        <v>67</v>
      </c>
      <c r="J18" s="5">
        <v>70</v>
      </c>
      <c r="K18" s="5">
        <v>64</v>
      </c>
      <c r="L18" s="5">
        <v>71</v>
      </c>
      <c r="M18" s="5">
        <v>65</v>
      </c>
      <c r="N18" s="5">
        <v>78</v>
      </c>
      <c r="O18" s="5">
        <v>62</v>
      </c>
      <c r="P18" s="5">
        <v>82</v>
      </c>
      <c r="Q18" s="5">
        <v>59</v>
      </c>
      <c r="R18" s="5">
        <v>62</v>
      </c>
      <c r="S18" s="5">
        <v>68</v>
      </c>
      <c r="T18" s="5">
        <v>72</v>
      </c>
      <c r="U18" s="5">
        <v>85</v>
      </c>
      <c r="V18" s="5">
        <v>84</v>
      </c>
      <c r="W18" s="5">
        <v>98</v>
      </c>
      <c r="X18" s="5">
        <v>99</v>
      </c>
      <c r="Y18" s="5">
        <v>86</v>
      </c>
      <c r="Z18" s="5">
        <v>70</v>
      </c>
      <c r="AA18" s="5">
        <v>75</v>
      </c>
      <c r="AB18" s="5">
        <v>65</v>
      </c>
      <c r="AC18" s="5">
        <v>82</v>
      </c>
      <c r="AD18" s="5">
        <v>60</v>
      </c>
      <c r="AE18" s="6">
        <v>65</v>
      </c>
      <c r="AF18">
        <f>SUM(Form_Responses[[#This Row],[23PDS1CC01 (FDS) - CIA]:[23PDS1AE01 (DSE) - CIA]])</f>
        <v>758</v>
      </c>
      <c r="AG18">
        <f>SUM(Form_Responses[[#This Row],[23PDS2CC04 (Stat - 2) - CIA]:[23PDS2EG01 (DM) - Sem]])</f>
        <v>1130</v>
      </c>
    </row>
    <row r="19" spans="1:33" ht="15.75" customHeight="1" x14ac:dyDescent="0.25">
      <c r="A19" s="7">
        <v>45875.602763275463</v>
      </c>
      <c r="B19" s="8" t="s">
        <v>84</v>
      </c>
      <c r="C19" s="8" t="s">
        <v>85</v>
      </c>
      <c r="D19" s="8" t="s">
        <v>40</v>
      </c>
      <c r="E19" s="8" t="s">
        <v>86</v>
      </c>
      <c r="F19" s="8">
        <v>74</v>
      </c>
      <c r="G19" s="8">
        <v>71</v>
      </c>
      <c r="H19" s="8">
        <v>91</v>
      </c>
      <c r="I19" s="8">
        <v>96</v>
      </c>
      <c r="J19" s="8">
        <v>94</v>
      </c>
      <c r="K19" s="8">
        <v>88</v>
      </c>
      <c r="L19" s="8">
        <v>76</v>
      </c>
      <c r="M19" s="8">
        <v>68</v>
      </c>
      <c r="N19" s="8">
        <v>79</v>
      </c>
      <c r="O19" s="8">
        <v>67</v>
      </c>
      <c r="P19" s="8">
        <v>67</v>
      </c>
      <c r="Q19" s="8">
        <v>95</v>
      </c>
      <c r="R19" s="8">
        <v>85</v>
      </c>
      <c r="S19" s="8">
        <v>79</v>
      </c>
      <c r="T19" s="8">
        <v>81</v>
      </c>
      <c r="U19" s="8">
        <v>82</v>
      </c>
      <c r="V19" s="8">
        <v>78</v>
      </c>
      <c r="W19" s="8">
        <v>100</v>
      </c>
      <c r="X19" s="8">
        <v>97</v>
      </c>
      <c r="Y19" s="8">
        <v>76</v>
      </c>
      <c r="Z19" s="8">
        <v>68</v>
      </c>
      <c r="AA19" s="8">
        <v>78</v>
      </c>
      <c r="AB19" s="8">
        <v>69</v>
      </c>
      <c r="AC19" s="8">
        <v>86</v>
      </c>
      <c r="AD19" s="8">
        <v>89</v>
      </c>
      <c r="AE19" s="9">
        <v>100</v>
      </c>
      <c r="AF19">
        <f>SUM(Form_Responses[[#This Row],[23PDS1CC01 (FDS) - CIA]:[23PDS1AE01 (DSE) - CIA]])</f>
        <v>871</v>
      </c>
      <c r="AG19">
        <f>SUM(Form_Responses[[#This Row],[23PDS2CC04 (Stat - 2) - CIA]:[23PDS2EG01 (DM) - Sem]])</f>
        <v>1263</v>
      </c>
    </row>
    <row r="20" spans="1:33" ht="15.75" customHeight="1" x14ac:dyDescent="0.25">
      <c r="A20" s="4">
        <v>45875.793092662032</v>
      </c>
      <c r="B20" s="5" t="s">
        <v>87</v>
      </c>
      <c r="C20" s="5" t="s">
        <v>88</v>
      </c>
      <c r="D20" s="5" t="s">
        <v>33</v>
      </c>
      <c r="E20" s="5" t="s">
        <v>89</v>
      </c>
      <c r="F20" s="5">
        <v>52</v>
      </c>
      <c r="G20" s="5">
        <v>60</v>
      </c>
      <c r="H20" s="5">
        <v>58</v>
      </c>
      <c r="I20" s="5">
        <v>54</v>
      </c>
      <c r="J20" s="5">
        <v>75</v>
      </c>
      <c r="K20" s="5">
        <v>68</v>
      </c>
      <c r="L20" s="5">
        <v>56</v>
      </c>
      <c r="M20" s="5">
        <v>63</v>
      </c>
      <c r="N20" s="5">
        <v>59</v>
      </c>
      <c r="O20" s="5">
        <v>53</v>
      </c>
      <c r="P20" s="5">
        <v>79</v>
      </c>
      <c r="Q20" s="5">
        <v>57</v>
      </c>
      <c r="R20" s="5">
        <v>52</v>
      </c>
      <c r="S20" s="5">
        <v>50</v>
      </c>
      <c r="T20" s="5">
        <v>55</v>
      </c>
      <c r="U20" s="5">
        <v>80</v>
      </c>
      <c r="V20" s="5">
        <v>82</v>
      </c>
      <c r="W20" s="5">
        <v>86</v>
      </c>
      <c r="X20" s="5">
        <v>92</v>
      </c>
      <c r="Y20" s="5">
        <v>74</v>
      </c>
      <c r="Z20" s="5">
        <v>50</v>
      </c>
      <c r="AA20" s="5">
        <v>68</v>
      </c>
      <c r="AB20" s="5">
        <v>52</v>
      </c>
      <c r="AC20" s="5">
        <v>82</v>
      </c>
      <c r="AD20" s="5">
        <v>50</v>
      </c>
      <c r="AE20" s="6">
        <v>54</v>
      </c>
      <c r="AF20">
        <f>SUM(Form_Responses[[#This Row],[23PDS1CC01 (FDS) - CIA]:[23PDS1AE01 (DSE) - CIA]])</f>
        <v>677</v>
      </c>
      <c r="AG20">
        <f>SUM(Form_Responses[[#This Row],[23PDS2CC04 (Stat - 2) - CIA]:[23PDS2EG01 (DM) - Sem]])</f>
        <v>984</v>
      </c>
    </row>
    <row r="21" spans="1:33" ht="15.75" customHeight="1" x14ac:dyDescent="0.25">
      <c r="A21" s="7">
        <v>45875.795057939817</v>
      </c>
      <c r="B21" s="8" t="s">
        <v>90</v>
      </c>
      <c r="C21" s="8" t="s">
        <v>91</v>
      </c>
      <c r="D21" s="8" t="s">
        <v>40</v>
      </c>
      <c r="E21" s="8" t="s">
        <v>92</v>
      </c>
      <c r="F21" s="8">
        <v>74</v>
      </c>
      <c r="G21" s="8">
        <v>74</v>
      </c>
      <c r="H21" s="8">
        <v>85</v>
      </c>
      <c r="I21" s="8">
        <v>84</v>
      </c>
      <c r="J21" s="8">
        <v>89</v>
      </c>
      <c r="K21" s="8">
        <v>86</v>
      </c>
      <c r="L21" s="8">
        <v>73</v>
      </c>
      <c r="M21" s="8">
        <v>73</v>
      </c>
      <c r="N21" s="8">
        <v>80</v>
      </c>
      <c r="O21" s="8">
        <v>65</v>
      </c>
      <c r="P21" s="8">
        <v>80</v>
      </c>
      <c r="Q21" s="8">
        <v>83</v>
      </c>
      <c r="R21" s="8">
        <v>94</v>
      </c>
      <c r="S21" s="8">
        <v>81</v>
      </c>
      <c r="T21" s="8">
        <v>82</v>
      </c>
      <c r="U21" s="8">
        <v>84</v>
      </c>
      <c r="V21" s="8">
        <v>82</v>
      </c>
      <c r="W21" s="8">
        <v>92</v>
      </c>
      <c r="X21" s="8">
        <v>97</v>
      </c>
      <c r="Y21" s="8">
        <v>74</v>
      </c>
      <c r="Z21" s="8">
        <v>66</v>
      </c>
      <c r="AA21" s="8">
        <v>76</v>
      </c>
      <c r="AB21" s="8">
        <v>63</v>
      </c>
      <c r="AC21" s="8">
        <v>83</v>
      </c>
      <c r="AD21" s="8">
        <v>81</v>
      </c>
      <c r="AE21" s="9">
        <v>80</v>
      </c>
      <c r="AF21">
        <f>SUM(Form_Responses[[#This Row],[23PDS1CC01 (FDS) - CIA]:[23PDS1AE01 (DSE) - CIA]])</f>
        <v>863</v>
      </c>
      <c r="AG21">
        <f>SUM(Form_Responses[[#This Row],[23PDS2CC04 (Stat - 2) - CIA]:[23PDS2EG01 (DM) - Sem]])</f>
        <v>1218</v>
      </c>
    </row>
    <row r="22" spans="1:33" ht="15.75" customHeight="1" x14ac:dyDescent="0.25">
      <c r="A22" s="4">
        <v>45875.80103732639</v>
      </c>
      <c r="B22" s="5" t="s">
        <v>93</v>
      </c>
      <c r="C22" s="5" t="s">
        <v>94</v>
      </c>
      <c r="D22" s="5" t="s">
        <v>40</v>
      </c>
      <c r="E22" s="5" t="s">
        <v>95</v>
      </c>
      <c r="F22" s="5">
        <v>57</v>
      </c>
      <c r="G22" s="5">
        <v>59</v>
      </c>
      <c r="H22" s="5">
        <v>31</v>
      </c>
      <c r="I22" s="5" t="s">
        <v>96</v>
      </c>
      <c r="J22" s="5">
        <v>57</v>
      </c>
      <c r="K22" s="5">
        <v>50</v>
      </c>
      <c r="L22" s="5">
        <v>64</v>
      </c>
      <c r="M22" s="5">
        <v>67</v>
      </c>
      <c r="N22" s="5">
        <v>76</v>
      </c>
      <c r="O22" s="5">
        <v>52</v>
      </c>
      <c r="P22" s="5">
        <v>72</v>
      </c>
      <c r="Q22" s="5">
        <v>58</v>
      </c>
      <c r="R22" s="5">
        <v>54</v>
      </c>
      <c r="S22" s="5">
        <v>65</v>
      </c>
      <c r="T22" s="5">
        <v>64</v>
      </c>
      <c r="U22" s="5">
        <v>80</v>
      </c>
      <c r="V22" s="5">
        <v>80</v>
      </c>
      <c r="W22" s="5">
        <v>88</v>
      </c>
      <c r="X22" s="5">
        <v>98</v>
      </c>
      <c r="Y22" s="5">
        <v>76</v>
      </c>
      <c r="Z22" s="5">
        <v>50</v>
      </c>
      <c r="AA22" s="5">
        <v>54</v>
      </c>
      <c r="AB22" s="5">
        <v>54</v>
      </c>
      <c r="AC22" s="5">
        <v>76</v>
      </c>
      <c r="AD22" s="5">
        <v>51</v>
      </c>
      <c r="AE22" s="6">
        <v>25</v>
      </c>
      <c r="AF22">
        <f>SUM(Form_Responses[[#This Row],[23PDS1CC01 (FDS) - CIA]:[23PDS1AE01 (DSE) - CIA]])</f>
        <v>585</v>
      </c>
      <c r="AG22">
        <f>SUM(Form_Responses[[#This Row],[23PDS2CC04 (Stat - 2) - CIA]:[23PDS2EG01 (DM) - Sem]])</f>
        <v>973</v>
      </c>
    </row>
    <row r="23" spans="1:33" ht="12.5" x14ac:dyDescent="0.25">
      <c r="A23" s="7">
        <v>45875.845423391205</v>
      </c>
      <c r="B23" s="8" t="s">
        <v>97</v>
      </c>
      <c r="C23" s="8" t="s">
        <v>98</v>
      </c>
      <c r="D23" s="8" t="s">
        <v>40</v>
      </c>
      <c r="E23" s="8" t="s">
        <v>99</v>
      </c>
      <c r="F23" s="8">
        <v>52</v>
      </c>
      <c r="G23" s="8">
        <v>57</v>
      </c>
      <c r="H23" s="8">
        <v>50</v>
      </c>
      <c r="I23" s="8">
        <v>29</v>
      </c>
      <c r="J23" s="8">
        <v>50</v>
      </c>
      <c r="K23" s="8">
        <v>39</v>
      </c>
      <c r="L23" s="8">
        <v>57</v>
      </c>
      <c r="M23" s="8">
        <v>61</v>
      </c>
      <c r="N23" s="8">
        <v>70</v>
      </c>
      <c r="O23" s="8">
        <v>60</v>
      </c>
      <c r="P23" s="8">
        <v>82</v>
      </c>
      <c r="Q23" s="8">
        <v>51</v>
      </c>
      <c r="R23" s="8">
        <v>50</v>
      </c>
      <c r="S23" s="8">
        <v>50</v>
      </c>
      <c r="T23" s="8">
        <v>63</v>
      </c>
      <c r="U23" s="8">
        <v>80</v>
      </c>
      <c r="V23" s="8">
        <v>63</v>
      </c>
      <c r="W23" s="8">
        <v>92</v>
      </c>
      <c r="X23" s="8">
        <v>95</v>
      </c>
      <c r="Y23" s="8">
        <v>70</v>
      </c>
      <c r="Z23" s="8">
        <v>58</v>
      </c>
      <c r="AA23" s="8">
        <v>73</v>
      </c>
      <c r="AB23" s="8">
        <v>63</v>
      </c>
      <c r="AC23" s="8">
        <v>82</v>
      </c>
      <c r="AD23" s="8">
        <v>50</v>
      </c>
      <c r="AE23" s="9">
        <v>36</v>
      </c>
      <c r="AF23">
        <f>SUM(Form_Responses[[#This Row],[23PDS1CC01 (FDS) - CIA]:[23PDS1AE01 (DSE) - CIA]])</f>
        <v>607</v>
      </c>
      <c r="AG23">
        <f>SUM(Form_Responses[[#This Row],[23PDS2CC04 (Stat - 2) - CIA]:[23PDS2EG01 (DM) - Sem]])</f>
        <v>976</v>
      </c>
    </row>
    <row r="24" spans="1:33" ht="12.5" x14ac:dyDescent="0.25">
      <c r="A24" s="4">
        <v>45875.885757627315</v>
      </c>
      <c r="B24" s="5" t="s">
        <v>100</v>
      </c>
      <c r="C24" s="5" t="s">
        <v>101</v>
      </c>
      <c r="D24" s="5" t="s">
        <v>40</v>
      </c>
      <c r="E24" s="5" t="s">
        <v>102</v>
      </c>
      <c r="F24" s="5">
        <v>64</v>
      </c>
      <c r="G24" s="5">
        <v>57</v>
      </c>
      <c r="H24" s="5">
        <v>50</v>
      </c>
      <c r="I24" s="5">
        <v>51</v>
      </c>
      <c r="J24" s="5">
        <v>64</v>
      </c>
      <c r="K24" s="5">
        <v>52</v>
      </c>
      <c r="L24" s="5">
        <v>71</v>
      </c>
      <c r="M24" s="5">
        <v>70</v>
      </c>
      <c r="N24" s="5">
        <v>72</v>
      </c>
      <c r="O24" s="5">
        <v>61</v>
      </c>
      <c r="P24" s="5">
        <v>72</v>
      </c>
      <c r="Q24" s="5">
        <v>59</v>
      </c>
      <c r="R24" s="5">
        <v>50</v>
      </c>
      <c r="S24" s="5">
        <v>60</v>
      </c>
      <c r="T24" s="5">
        <v>76</v>
      </c>
      <c r="U24" s="5">
        <v>84</v>
      </c>
      <c r="V24" s="5">
        <v>83</v>
      </c>
      <c r="W24" s="5">
        <v>86</v>
      </c>
      <c r="X24" s="5">
        <v>98</v>
      </c>
      <c r="Y24" s="5">
        <v>62</v>
      </c>
      <c r="Z24" s="5">
        <v>50</v>
      </c>
      <c r="AA24" s="5">
        <v>74</v>
      </c>
      <c r="AB24" s="5">
        <v>67</v>
      </c>
      <c r="AC24" s="5">
        <v>83</v>
      </c>
      <c r="AD24" s="5">
        <v>0</v>
      </c>
      <c r="AE24" s="6" t="s">
        <v>96</v>
      </c>
      <c r="AF24">
        <f>SUM(Form_Responses[[#This Row],[23PDS1CC01 (FDS) - CIA]:[23PDS1AE01 (DSE) - CIA]])</f>
        <v>684</v>
      </c>
      <c r="AG24">
        <f>SUM(Form_Responses[[#This Row],[23PDS2CC04 (Stat - 2) - CIA]:[23PDS2EG01 (DM) - Sem]])</f>
        <v>932</v>
      </c>
    </row>
    <row r="25" spans="1:33" ht="12.5" x14ac:dyDescent="0.25">
      <c r="A25" s="7">
        <v>45875.916614895832</v>
      </c>
      <c r="B25" s="8" t="s">
        <v>103</v>
      </c>
      <c r="C25" s="8" t="s">
        <v>104</v>
      </c>
      <c r="D25" s="8" t="s">
        <v>40</v>
      </c>
      <c r="E25" s="8" t="s">
        <v>105</v>
      </c>
      <c r="F25" s="8">
        <v>63</v>
      </c>
      <c r="G25" s="8">
        <v>74</v>
      </c>
      <c r="H25" s="8">
        <v>50</v>
      </c>
      <c r="I25" s="8">
        <v>54</v>
      </c>
      <c r="J25" s="8">
        <v>69</v>
      </c>
      <c r="K25" s="8">
        <v>67</v>
      </c>
      <c r="L25" s="8">
        <v>63</v>
      </c>
      <c r="M25" s="8">
        <v>66</v>
      </c>
      <c r="N25" s="8">
        <v>67</v>
      </c>
      <c r="O25" s="8">
        <v>58</v>
      </c>
      <c r="P25" s="8">
        <v>74</v>
      </c>
      <c r="Q25" s="8">
        <v>79</v>
      </c>
      <c r="R25" s="8">
        <v>63</v>
      </c>
      <c r="S25" s="8">
        <v>70</v>
      </c>
      <c r="T25" s="8">
        <v>73</v>
      </c>
      <c r="U25" s="8">
        <v>82</v>
      </c>
      <c r="V25" s="8">
        <v>81</v>
      </c>
      <c r="W25" s="8">
        <v>88</v>
      </c>
      <c r="X25" s="8">
        <v>94</v>
      </c>
      <c r="Y25" s="8">
        <v>70</v>
      </c>
      <c r="Z25" s="8">
        <v>58</v>
      </c>
      <c r="AA25" s="8">
        <v>80</v>
      </c>
      <c r="AB25" s="8">
        <v>74</v>
      </c>
      <c r="AC25" s="8">
        <v>85</v>
      </c>
      <c r="AD25" s="8">
        <v>61</v>
      </c>
      <c r="AE25" s="9">
        <v>73</v>
      </c>
      <c r="AF25">
        <f>SUM(Form_Responses[[#This Row],[23PDS1CC01 (FDS) - CIA]:[23PDS1AE01 (DSE) - CIA]])</f>
        <v>705</v>
      </c>
      <c r="AG25">
        <f>SUM(Form_Responses[[#This Row],[23PDS2CC04 (Stat - 2) - CIA]:[23PDS2EG01 (DM) - Sem]])</f>
        <v>1131</v>
      </c>
    </row>
    <row r="26" spans="1:33" ht="12.5" x14ac:dyDescent="0.25">
      <c r="A26" s="4">
        <v>45875.918364699071</v>
      </c>
      <c r="B26" s="5" t="s">
        <v>106</v>
      </c>
      <c r="C26" s="5" t="s">
        <v>107</v>
      </c>
      <c r="D26" s="5" t="s">
        <v>40</v>
      </c>
      <c r="E26" s="5" t="s">
        <v>108</v>
      </c>
      <c r="F26" s="5">
        <v>59</v>
      </c>
      <c r="G26" s="5">
        <v>58</v>
      </c>
      <c r="H26" s="5">
        <v>56</v>
      </c>
      <c r="I26" s="5">
        <v>50</v>
      </c>
      <c r="J26" s="5">
        <v>75</v>
      </c>
      <c r="K26" s="5">
        <v>65</v>
      </c>
      <c r="L26" s="5">
        <v>70</v>
      </c>
      <c r="M26" s="5">
        <v>64</v>
      </c>
      <c r="N26" s="5">
        <v>65</v>
      </c>
      <c r="O26" s="5">
        <v>63</v>
      </c>
      <c r="P26" s="5">
        <v>76</v>
      </c>
      <c r="Q26" s="5">
        <v>67</v>
      </c>
      <c r="R26" s="5">
        <v>64</v>
      </c>
      <c r="S26" s="5">
        <v>59</v>
      </c>
      <c r="T26" s="5">
        <v>71</v>
      </c>
      <c r="U26" s="5">
        <v>83</v>
      </c>
      <c r="V26" s="5">
        <v>82</v>
      </c>
      <c r="W26" s="5">
        <v>90</v>
      </c>
      <c r="X26" s="5">
        <v>94</v>
      </c>
      <c r="Y26" s="5">
        <v>92</v>
      </c>
      <c r="Z26" s="5">
        <v>52</v>
      </c>
      <c r="AA26" s="5">
        <v>76</v>
      </c>
      <c r="AB26" s="5">
        <v>63</v>
      </c>
      <c r="AC26" s="5">
        <v>86</v>
      </c>
      <c r="AD26" s="5">
        <v>58</v>
      </c>
      <c r="AE26" s="6">
        <v>64</v>
      </c>
      <c r="AF26">
        <f>SUM(Form_Responses[[#This Row],[23PDS1CC01 (FDS) - CIA]:[23PDS1AE01 (DSE) - CIA]])</f>
        <v>701</v>
      </c>
      <c r="AG26">
        <f>SUM(Form_Responses[[#This Row],[23PDS2CC04 (Stat - 2) - CIA]:[23PDS2EG01 (DM) - Sem]])</f>
        <v>1101</v>
      </c>
    </row>
    <row r="27" spans="1:33" ht="12.5" x14ac:dyDescent="0.25">
      <c r="A27" s="7">
        <v>45876.405598206024</v>
      </c>
      <c r="B27" s="8" t="s">
        <v>109</v>
      </c>
      <c r="C27" s="8" t="s">
        <v>110</v>
      </c>
      <c r="D27" s="8" t="s">
        <v>40</v>
      </c>
      <c r="E27" s="8" t="s">
        <v>111</v>
      </c>
      <c r="F27" s="8">
        <v>67</v>
      </c>
      <c r="G27" s="8">
        <v>72</v>
      </c>
      <c r="H27" s="8">
        <v>50</v>
      </c>
      <c r="I27" s="8">
        <v>51</v>
      </c>
      <c r="J27" s="8">
        <v>58</v>
      </c>
      <c r="K27" s="8">
        <v>68</v>
      </c>
      <c r="L27" s="8">
        <v>67</v>
      </c>
      <c r="M27" s="8">
        <v>68</v>
      </c>
      <c r="N27" s="8">
        <v>77</v>
      </c>
      <c r="O27" s="8">
        <v>66</v>
      </c>
      <c r="P27" s="8">
        <v>79</v>
      </c>
      <c r="Q27" s="8">
        <v>69</v>
      </c>
      <c r="R27" s="8">
        <v>64</v>
      </c>
      <c r="S27" s="8">
        <v>71</v>
      </c>
      <c r="T27" s="8">
        <v>74</v>
      </c>
      <c r="U27" s="8">
        <v>82</v>
      </c>
      <c r="V27" s="8">
        <v>83</v>
      </c>
      <c r="W27" s="8">
        <v>86</v>
      </c>
      <c r="X27" s="8">
        <v>88</v>
      </c>
      <c r="Y27" s="8">
        <v>74</v>
      </c>
      <c r="Z27" s="8">
        <v>54</v>
      </c>
      <c r="AA27" s="8">
        <v>79</v>
      </c>
      <c r="AB27" s="8">
        <v>69</v>
      </c>
      <c r="AC27" s="8">
        <v>82</v>
      </c>
      <c r="AD27" s="8">
        <v>53</v>
      </c>
      <c r="AE27" s="9">
        <v>64</v>
      </c>
      <c r="AF27">
        <f>SUM(Form_Responses[[#This Row],[23PDS1CC01 (FDS) - CIA]:[23PDS1AE01 (DSE) - CIA]])</f>
        <v>723</v>
      </c>
      <c r="AG27">
        <f>SUM(Form_Responses[[#This Row],[23PDS2CC04 (Stat - 2) - CIA]:[23PDS2EG01 (DM) - Sem]])</f>
        <v>1092</v>
      </c>
    </row>
    <row r="28" spans="1:33" ht="12.5" x14ac:dyDescent="0.25">
      <c r="A28" s="4">
        <v>45876.406347048614</v>
      </c>
      <c r="B28" s="5" t="s">
        <v>112</v>
      </c>
      <c r="C28" s="5" t="s">
        <v>113</v>
      </c>
      <c r="D28" s="5" t="s">
        <v>40</v>
      </c>
      <c r="E28" s="5" t="s">
        <v>114</v>
      </c>
      <c r="F28" s="5">
        <v>62</v>
      </c>
      <c r="G28" s="5">
        <v>57</v>
      </c>
      <c r="H28" s="5">
        <v>52</v>
      </c>
      <c r="I28" s="5">
        <v>53</v>
      </c>
      <c r="J28" s="5">
        <v>76</v>
      </c>
      <c r="K28" s="5">
        <v>67</v>
      </c>
      <c r="L28" s="5">
        <v>65</v>
      </c>
      <c r="M28" s="5">
        <v>60</v>
      </c>
      <c r="N28" s="5">
        <v>68</v>
      </c>
      <c r="O28" s="5">
        <v>54</v>
      </c>
      <c r="P28" s="5">
        <v>92</v>
      </c>
      <c r="Q28" s="5">
        <v>76</v>
      </c>
      <c r="R28" s="5">
        <v>68</v>
      </c>
      <c r="S28" s="5">
        <v>72</v>
      </c>
      <c r="T28" s="5">
        <v>75</v>
      </c>
      <c r="U28" s="5">
        <v>83</v>
      </c>
      <c r="V28" s="5">
        <v>81</v>
      </c>
      <c r="W28" s="5">
        <v>92</v>
      </c>
      <c r="X28" s="5">
        <v>94</v>
      </c>
      <c r="Y28" s="5">
        <v>90</v>
      </c>
      <c r="Z28" s="5">
        <v>58</v>
      </c>
      <c r="AA28" s="5">
        <v>79</v>
      </c>
      <c r="AB28" s="5">
        <v>70</v>
      </c>
      <c r="AC28" s="5">
        <v>81</v>
      </c>
      <c r="AD28" s="5">
        <v>65</v>
      </c>
      <c r="AE28" s="6">
        <v>65</v>
      </c>
      <c r="AF28">
        <f>SUM(Form_Responses[[#This Row],[23PDS1CC01 (FDS) - CIA]:[23PDS1AE01 (DSE) - CIA]])</f>
        <v>706</v>
      </c>
      <c r="AG28">
        <f>SUM(Form_Responses[[#This Row],[23PDS2CC04 (Stat - 2) - CIA]:[23PDS2EG01 (DM) - Sem]])</f>
        <v>1149</v>
      </c>
    </row>
    <row r="29" spans="1:33" ht="12.5" x14ac:dyDescent="0.25">
      <c r="A29" s="7">
        <v>45876.406981134263</v>
      </c>
      <c r="B29" s="8" t="s">
        <v>115</v>
      </c>
      <c r="C29" s="8" t="s">
        <v>116</v>
      </c>
      <c r="D29" s="8" t="s">
        <v>33</v>
      </c>
      <c r="E29" s="8" t="s">
        <v>117</v>
      </c>
      <c r="F29" s="8">
        <v>60</v>
      </c>
      <c r="G29" s="8">
        <v>65</v>
      </c>
      <c r="H29" s="8">
        <v>65</v>
      </c>
      <c r="I29" s="8">
        <v>68</v>
      </c>
      <c r="J29" s="8">
        <v>63</v>
      </c>
      <c r="K29" s="8">
        <v>64</v>
      </c>
      <c r="L29" s="8">
        <v>66</v>
      </c>
      <c r="M29" s="8">
        <v>68</v>
      </c>
      <c r="N29" s="8">
        <v>67</v>
      </c>
      <c r="O29" s="8">
        <v>61</v>
      </c>
      <c r="P29" s="8">
        <v>62</v>
      </c>
      <c r="Q29" s="8">
        <v>67</v>
      </c>
      <c r="R29" s="8">
        <v>66</v>
      </c>
      <c r="S29" s="8">
        <v>69</v>
      </c>
      <c r="T29" s="8">
        <v>68</v>
      </c>
      <c r="U29" s="8">
        <v>61</v>
      </c>
      <c r="V29" s="8">
        <v>63</v>
      </c>
      <c r="W29" s="8">
        <v>99</v>
      </c>
      <c r="X29" s="8">
        <v>95</v>
      </c>
      <c r="Y29" s="8">
        <v>59</v>
      </c>
      <c r="Z29" s="8">
        <v>70</v>
      </c>
      <c r="AA29" s="8">
        <v>68</v>
      </c>
      <c r="AB29" s="8">
        <v>64</v>
      </c>
      <c r="AC29" s="8">
        <v>65</v>
      </c>
      <c r="AD29" s="8">
        <v>66</v>
      </c>
      <c r="AE29" s="9">
        <v>70</v>
      </c>
      <c r="AF29">
        <f>SUM(Form_Responses[[#This Row],[23PDS1CC01 (FDS) - CIA]:[23PDS1AE01 (DSE) - CIA]])</f>
        <v>709</v>
      </c>
      <c r="AG29">
        <f>SUM(Form_Responses[[#This Row],[23PDS2CC04 (Stat - 2) - CIA]:[23PDS2EG01 (DM) - Sem]])</f>
        <v>1050</v>
      </c>
    </row>
    <row r="30" spans="1:33" ht="12.5" x14ac:dyDescent="0.25">
      <c r="A30" s="4">
        <v>45876.408729861112</v>
      </c>
      <c r="B30" s="5" t="s">
        <v>118</v>
      </c>
      <c r="C30" s="5" t="s">
        <v>119</v>
      </c>
      <c r="D30" s="5" t="s">
        <v>33</v>
      </c>
      <c r="E30" s="5" t="s">
        <v>120</v>
      </c>
      <c r="F30" s="5">
        <v>61</v>
      </c>
      <c r="G30" s="5">
        <v>63</v>
      </c>
      <c r="H30" s="5">
        <v>53</v>
      </c>
      <c r="I30" s="5">
        <v>51</v>
      </c>
      <c r="J30" s="5">
        <v>60</v>
      </c>
      <c r="K30" s="5">
        <v>57</v>
      </c>
      <c r="L30" s="5">
        <v>69</v>
      </c>
      <c r="M30" s="5">
        <v>61</v>
      </c>
      <c r="N30" s="5">
        <v>81</v>
      </c>
      <c r="O30" s="5">
        <v>50</v>
      </c>
      <c r="P30" s="5">
        <v>86</v>
      </c>
      <c r="Q30" s="5">
        <v>65</v>
      </c>
      <c r="R30" s="5">
        <v>50</v>
      </c>
      <c r="S30" s="5">
        <v>66</v>
      </c>
      <c r="T30" s="5">
        <v>64</v>
      </c>
      <c r="U30" s="5">
        <v>89</v>
      </c>
      <c r="V30" s="5">
        <v>85</v>
      </c>
      <c r="W30" s="5">
        <v>92</v>
      </c>
      <c r="X30" s="5">
        <v>92</v>
      </c>
      <c r="Y30" s="5">
        <v>56</v>
      </c>
      <c r="Z30" s="5">
        <v>66</v>
      </c>
      <c r="AA30" s="5">
        <v>75</v>
      </c>
      <c r="AB30" s="5">
        <v>54</v>
      </c>
      <c r="AC30" s="5">
        <v>82</v>
      </c>
      <c r="AD30" s="5">
        <v>62</v>
      </c>
      <c r="AE30" s="6">
        <v>62</v>
      </c>
      <c r="AF30">
        <f>SUM(Form_Responses[[#This Row],[23PDS1CC01 (FDS) - CIA]:[23PDS1AE01 (DSE) - CIA]])</f>
        <v>692</v>
      </c>
      <c r="AG30">
        <f>SUM(Form_Responses[[#This Row],[23PDS2CC04 (Stat - 2) - CIA]:[23PDS2EG01 (DM) - Sem]])</f>
        <v>1060</v>
      </c>
    </row>
    <row r="31" spans="1:33" ht="12.5" x14ac:dyDescent="0.25">
      <c r="A31" s="7">
        <v>45876.411997951393</v>
      </c>
      <c r="B31" s="8" t="s">
        <v>121</v>
      </c>
      <c r="C31" s="8" t="s">
        <v>122</v>
      </c>
      <c r="D31" s="8" t="s">
        <v>40</v>
      </c>
      <c r="E31" s="8" t="s">
        <v>123</v>
      </c>
      <c r="F31" s="8">
        <v>71</v>
      </c>
      <c r="G31" s="8">
        <v>72</v>
      </c>
      <c r="H31" s="8">
        <v>70</v>
      </c>
      <c r="I31" s="8">
        <v>94</v>
      </c>
      <c r="J31" s="8">
        <v>84</v>
      </c>
      <c r="K31" s="8">
        <v>86</v>
      </c>
      <c r="L31" s="8">
        <v>79</v>
      </c>
      <c r="M31" s="8">
        <v>66</v>
      </c>
      <c r="N31" s="8">
        <v>81</v>
      </c>
      <c r="O31" s="8">
        <v>63</v>
      </c>
      <c r="P31" s="8">
        <v>75</v>
      </c>
      <c r="Q31" s="8">
        <v>86</v>
      </c>
      <c r="R31" s="8">
        <v>82</v>
      </c>
      <c r="S31" s="8">
        <v>77</v>
      </c>
      <c r="T31" s="8">
        <v>72</v>
      </c>
      <c r="U31" s="8">
        <v>82</v>
      </c>
      <c r="V31" s="8">
        <v>80</v>
      </c>
      <c r="W31" s="8">
        <v>96</v>
      </c>
      <c r="X31" s="8">
        <v>99</v>
      </c>
      <c r="Y31" s="8">
        <v>88</v>
      </c>
      <c r="Z31" s="8">
        <v>69</v>
      </c>
      <c r="AA31" s="8">
        <v>78</v>
      </c>
      <c r="AB31" s="8">
        <v>64</v>
      </c>
      <c r="AC31" s="8">
        <v>84</v>
      </c>
      <c r="AD31" s="8">
        <v>89</v>
      </c>
      <c r="AE31" s="9">
        <v>93</v>
      </c>
      <c r="AF31">
        <f>SUM(Form_Responses[[#This Row],[23PDS1CC01 (FDS) - CIA]:[23PDS1AE01 (DSE) - CIA]])</f>
        <v>841</v>
      </c>
      <c r="AG31">
        <f>SUM(Form_Responses[[#This Row],[23PDS2CC04 (Stat - 2) - CIA]:[23PDS2EG01 (DM) - Sem]])</f>
        <v>1239</v>
      </c>
    </row>
    <row r="32" spans="1:33" ht="12.5" x14ac:dyDescent="0.25">
      <c r="A32" s="4">
        <v>45876.412606597223</v>
      </c>
      <c r="B32" s="5" t="s">
        <v>124</v>
      </c>
      <c r="C32" s="5" t="s">
        <v>125</v>
      </c>
      <c r="D32" s="5" t="s">
        <v>40</v>
      </c>
      <c r="E32" s="5" t="s">
        <v>126</v>
      </c>
      <c r="F32" s="5">
        <v>75</v>
      </c>
      <c r="G32" s="5">
        <v>70</v>
      </c>
      <c r="H32" s="5">
        <v>51</v>
      </c>
      <c r="I32" s="5">
        <v>68</v>
      </c>
      <c r="J32" s="5">
        <v>70</v>
      </c>
      <c r="K32" s="5">
        <v>70</v>
      </c>
      <c r="L32" s="5">
        <v>73</v>
      </c>
      <c r="M32" s="5">
        <v>70</v>
      </c>
      <c r="N32" s="5">
        <v>73</v>
      </c>
      <c r="O32" s="5">
        <v>63</v>
      </c>
      <c r="P32" s="5">
        <v>82</v>
      </c>
      <c r="Q32" s="5">
        <v>74</v>
      </c>
      <c r="R32" s="5">
        <v>74</v>
      </c>
      <c r="S32" s="5">
        <v>66</v>
      </c>
      <c r="T32" s="5">
        <v>69</v>
      </c>
      <c r="U32" s="5">
        <v>83</v>
      </c>
      <c r="V32" s="5">
        <v>80</v>
      </c>
      <c r="W32" s="5">
        <v>98</v>
      </c>
      <c r="X32" s="5">
        <v>92</v>
      </c>
      <c r="Y32" s="5">
        <v>80</v>
      </c>
      <c r="Z32" s="5">
        <v>52</v>
      </c>
      <c r="AA32" s="5">
        <v>80</v>
      </c>
      <c r="AB32" s="5">
        <v>71</v>
      </c>
      <c r="AC32" s="5">
        <v>83</v>
      </c>
      <c r="AD32" s="5">
        <v>58</v>
      </c>
      <c r="AE32" s="6">
        <v>69</v>
      </c>
      <c r="AF32">
        <f>SUM(Form_Responses[[#This Row],[23PDS1CC01 (FDS) - CIA]:[23PDS1AE01 (DSE) - CIA]])</f>
        <v>765</v>
      </c>
      <c r="AG32">
        <f>SUM(Form_Responses[[#This Row],[23PDS2CC04 (Stat - 2) - CIA]:[23PDS2EG01 (DM) - Sem]])</f>
        <v>1129</v>
      </c>
    </row>
    <row r="33" spans="1:33" ht="12.5" x14ac:dyDescent="0.25">
      <c r="A33" s="7">
        <v>45876.413089201393</v>
      </c>
      <c r="B33" s="8" t="s">
        <v>127</v>
      </c>
      <c r="C33" s="8" t="s">
        <v>128</v>
      </c>
      <c r="D33" s="8" t="s">
        <v>40</v>
      </c>
      <c r="E33" s="8" t="s">
        <v>129</v>
      </c>
      <c r="F33" s="8">
        <v>83</v>
      </c>
      <c r="G33" s="8">
        <v>72</v>
      </c>
      <c r="H33" s="8">
        <v>85</v>
      </c>
      <c r="I33" s="8">
        <v>85</v>
      </c>
      <c r="J33" s="8">
        <v>87</v>
      </c>
      <c r="K33" s="8">
        <v>84</v>
      </c>
      <c r="L33" s="8">
        <v>77</v>
      </c>
      <c r="M33" s="8">
        <v>74</v>
      </c>
      <c r="N33" s="8">
        <v>84</v>
      </c>
      <c r="O33" s="8">
        <v>72</v>
      </c>
      <c r="P33" s="8">
        <v>84</v>
      </c>
      <c r="Q33" s="8">
        <v>92</v>
      </c>
      <c r="R33" s="8">
        <v>80</v>
      </c>
      <c r="S33" s="8">
        <v>84</v>
      </c>
      <c r="T33" s="8">
        <v>83</v>
      </c>
      <c r="U33" s="8">
        <v>89</v>
      </c>
      <c r="V33" s="8">
        <v>85</v>
      </c>
      <c r="W33" s="8">
        <v>100</v>
      </c>
      <c r="X33" s="8">
        <v>93</v>
      </c>
      <c r="Y33" s="8">
        <v>90</v>
      </c>
      <c r="Z33" s="8">
        <v>82</v>
      </c>
      <c r="AA33" s="8">
        <v>80</v>
      </c>
      <c r="AB33" s="8">
        <v>65</v>
      </c>
      <c r="AC33" s="8">
        <v>85</v>
      </c>
      <c r="AD33" s="8">
        <v>80</v>
      </c>
      <c r="AE33" s="9">
        <v>84</v>
      </c>
      <c r="AF33">
        <f>SUM(Form_Responses[[#This Row],[23PDS1CC01 (FDS) - CIA]:[23PDS1AE01 (DSE) - CIA]])</f>
        <v>887</v>
      </c>
      <c r="AG33">
        <f>SUM(Form_Responses[[#This Row],[23PDS2CC04 (Stat - 2) - CIA]:[23PDS2EG01 (DM) - Sem]])</f>
        <v>1272</v>
      </c>
    </row>
    <row r="34" spans="1:33" ht="12.5" x14ac:dyDescent="0.25">
      <c r="A34" s="4">
        <v>45876.41325489583</v>
      </c>
      <c r="B34" s="5" t="s">
        <v>130</v>
      </c>
      <c r="C34" s="5" t="s">
        <v>131</v>
      </c>
      <c r="D34" s="5" t="s">
        <v>40</v>
      </c>
      <c r="E34" s="5" t="s">
        <v>132</v>
      </c>
      <c r="F34" s="5">
        <v>59</v>
      </c>
      <c r="G34" s="5">
        <v>59</v>
      </c>
      <c r="H34" s="5">
        <v>60</v>
      </c>
      <c r="I34" s="5">
        <v>30</v>
      </c>
      <c r="J34" s="5">
        <v>61</v>
      </c>
      <c r="K34" s="5">
        <v>60</v>
      </c>
      <c r="L34" s="5">
        <v>65</v>
      </c>
      <c r="M34" s="5">
        <v>74</v>
      </c>
      <c r="N34" s="5">
        <v>70</v>
      </c>
      <c r="O34" s="5">
        <v>57</v>
      </c>
      <c r="P34" s="5">
        <v>72</v>
      </c>
      <c r="Q34" s="5">
        <v>61</v>
      </c>
      <c r="R34" s="5">
        <v>52</v>
      </c>
      <c r="S34" s="5">
        <v>58</v>
      </c>
      <c r="T34" s="5">
        <v>67</v>
      </c>
      <c r="U34" s="5">
        <v>83</v>
      </c>
      <c r="V34" s="5">
        <v>80</v>
      </c>
      <c r="W34" s="5">
        <v>88</v>
      </c>
      <c r="X34" s="5">
        <v>94</v>
      </c>
      <c r="Y34" s="5">
        <v>84</v>
      </c>
      <c r="Z34" s="5">
        <v>42</v>
      </c>
      <c r="AA34" s="5">
        <v>80</v>
      </c>
      <c r="AB34" s="5">
        <v>67</v>
      </c>
      <c r="AC34" s="5">
        <v>80</v>
      </c>
      <c r="AD34" s="5">
        <v>50</v>
      </c>
      <c r="AE34" s="6">
        <v>63</v>
      </c>
      <c r="AF34">
        <f>SUM(Form_Responses[[#This Row],[23PDS1CC01 (FDS) - CIA]:[23PDS1AE01 (DSE) - CIA]])</f>
        <v>667</v>
      </c>
      <c r="AG34">
        <f>SUM(Form_Responses[[#This Row],[23PDS2CC04 (Stat - 2) - CIA]:[23PDS2EG01 (DM) - Sem]])</f>
        <v>1049</v>
      </c>
    </row>
    <row r="35" spans="1:33" ht="12.5" x14ac:dyDescent="0.25">
      <c r="A35" s="7">
        <v>45876.41714928241</v>
      </c>
      <c r="B35" s="8" t="s">
        <v>133</v>
      </c>
      <c r="C35" s="8" t="s">
        <v>134</v>
      </c>
      <c r="D35" s="8" t="s">
        <v>40</v>
      </c>
      <c r="E35" s="8" t="s">
        <v>135</v>
      </c>
      <c r="F35" s="8">
        <v>66</v>
      </c>
      <c r="G35" s="8">
        <v>73</v>
      </c>
      <c r="H35" s="8">
        <v>73</v>
      </c>
      <c r="I35" s="8">
        <v>71</v>
      </c>
      <c r="J35" s="8">
        <v>80</v>
      </c>
      <c r="K35" s="8">
        <v>73</v>
      </c>
      <c r="L35" s="8">
        <v>75</v>
      </c>
      <c r="M35" s="8">
        <v>74</v>
      </c>
      <c r="N35" s="8">
        <v>72</v>
      </c>
      <c r="O35" s="8">
        <v>66</v>
      </c>
      <c r="P35" s="8">
        <v>75</v>
      </c>
      <c r="Q35" s="8">
        <v>82</v>
      </c>
      <c r="R35" s="8">
        <v>67</v>
      </c>
      <c r="S35" s="8">
        <v>70</v>
      </c>
      <c r="T35" s="8">
        <v>83</v>
      </c>
      <c r="U35" s="8">
        <v>83</v>
      </c>
      <c r="V35" s="8">
        <v>81</v>
      </c>
      <c r="W35" s="8">
        <v>100</v>
      </c>
      <c r="X35" s="8">
        <v>99</v>
      </c>
      <c r="Y35" s="8">
        <v>77</v>
      </c>
      <c r="Z35" s="8">
        <v>56</v>
      </c>
      <c r="AA35" s="8">
        <v>77</v>
      </c>
      <c r="AB35" s="8">
        <v>76</v>
      </c>
      <c r="AC35" s="8">
        <v>80</v>
      </c>
      <c r="AD35" s="8">
        <v>80</v>
      </c>
      <c r="AE35" s="9">
        <v>71</v>
      </c>
      <c r="AF35">
        <f>SUM(Form_Responses[[#This Row],[23PDS1CC01 (FDS) - CIA]:[23PDS1AE01 (DSE) - CIA]])</f>
        <v>798</v>
      </c>
      <c r="AG35">
        <f>SUM(Form_Responses[[#This Row],[23PDS2CC04 (Stat - 2) - CIA]:[23PDS2EG01 (DM) - Sem]])</f>
        <v>1182</v>
      </c>
    </row>
    <row r="36" spans="1:33" ht="12.5" x14ac:dyDescent="0.25">
      <c r="A36" s="4">
        <v>45876.417946412039</v>
      </c>
      <c r="B36" s="5" t="s">
        <v>136</v>
      </c>
      <c r="C36" s="5" t="s">
        <v>137</v>
      </c>
      <c r="D36" s="5" t="s">
        <v>33</v>
      </c>
      <c r="E36" s="5" t="s">
        <v>138</v>
      </c>
      <c r="F36" s="5">
        <v>61</v>
      </c>
      <c r="G36" s="5">
        <v>69</v>
      </c>
      <c r="H36" s="5">
        <v>57</v>
      </c>
      <c r="I36" s="5">
        <v>54</v>
      </c>
      <c r="J36" s="5">
        <v>75</v>
      </c>
      <c r="K36" s="5">
        <v>66</v>
      </c>
      <c r="L36" s="5">
        <v>62</v>
      </c>
      <c r="M36" s="5">
        <v>74</v>
      </c>
      <c r="N36" s="5">
        <v>78</v>
      </c>
      <c r="O36" s="5">
        <v>66</v>
      </c>
      <c r="P36" s="5">
        <v>81</v>
      </c>
      <c r="Q36" s="5">
        <v>86</v>
      </c>
      <c r="R36" s="5">
        <v>69</v>
      </c>
      <c r="S36" s="5">
        <v>74</v>
      </c>
      <c r="T36" s="5">
        <v>75</v>
      </c>
      <c r="U36" s="5">
        <v>85</v>
      </c>
      <c r="V36" s="5">
        <v>82</v>
      </c>
      <c r="W36" s="5">
        <v>90</v>
      </c>
      <c r="X36" s="5">
        <v>92</v>
      </c>
      <c r="Y36" s="5">
        <v>100</v>
      </c>
      <c r="Z36" s="5">
        <v>58</v>
      </c>
      <c r="AA36" s="5">
        <v>77</v>
      </c>
      <c r="AB36" s="5">
        <v>69</v>
      </c>
      <c r="AC36" s="5">
        <v>85</v>
      </c>
      <c r="AD36" s="5">
        <v>56</v>
      </c>
      <c r="AE36" s="6">
        <v>69</v>
      </c>
      <c r="AF36">
        <f>SUM(Form_Responses[[#This Row],[23PDS1CC01 (FDS) - CIA]:[23PDS1AE01 (DSE) - CIA]])</f>
        <v>743</v>
      </c>
      <c r="AG36">
        <f>SUM(Form_Responses[[#This Row],[23PDS2CC04 (Stat - 2) - CIA]:[23PDS2EG01 (DM) - Sem]])</f>
        <v>1167</v>
      </c>
    </row>
    <row r="37" spans="1:33" ht="12.5" x14ac:dyDescent="0.25">
      <c r="A37" s="7">
        <v>45876.422470613426</v>
      </c>
      <c r="B37" s="8" t="s">
        <v>139</v>
      </c>
      <c r="C37" s="8" t="s">
        <v>140</v>
      </c>
      <c r="D37" s="8" t="s">
        <v>40</v>
      </c>
      <c r="E37" s="8" t="s">
        <v>141</v>
      </c>
      <c r="F37" s="8">
        <v>66</v>
      </c>
      <c r="G37" s="8">
        <v>57</v>
      </c>
      <c r="H37" s="8">
        <v>68</v>
      </c>
      <c r="I37" s="8">
        <v>71</v>
      </c>
      <c r="J37" s="8">
        <v>81</v>
      </c>
      <c r="K37" s="8">
        <v>78</v>
      </c>
      <c r="L37" s="8">
        <v>65</v>
      </c>
      <c r="M37" s="8">
        <v>65</v>
      </c>
      <c r="N37" s="8">
        <v>64</v>
      </c>
      <c r="O37" s="8">
        <v>50</v>
      </c>
      <c r="P37" s="8">
        <v>69</v>
      </c>
      <c r="Q37" s="8">
        <v>83</v>
      </c>
      <c r="R37" s="8">
        <v>62</v>
      </c>
      <c r="S37" s="8">
        <v>70</v>
      </c>
      <c r="T37" s="8">
        <v>67</v>
      </c>
      <c r="U37" s="8">
        <v>85</v>
      </c>
      <c r="V37" s="8">
        <v>82</v>
      </c>
      <c r="W37" s="8">
        <v>86</v>
      </c>
      <c r="X37" s="8">
        <v>98</v>
      </c>
      <c r="Y37" s="8">
        <v>62</v>
      </c>
      <c r="Z37" s="8">
        <v>66</v>
      </c>
      <c r="AA37" s="8">
        <v>76</v>
      </c>
      <c r="AB37" s="8">
        <v>52</v>
      </c>
      <c r="AC37" s="8">
        <v>81</v>
      </c>
      <c r="AD37" s="8">
        <v>64</v>
      </c>
      <c r="AE37" s="9">
        <v>81</v>
      </c>
      <c r="AF37">
        <f>SUM(Form_Responses[[#This Row],[23PDS1CC01 (FDS) - CIA]:[23PDS1AE01 (DSE) - CIA]])</f>
        <v>734</v>
      </c>
      <c r="AG37">
        <f>SUM(Form_Responses[[#This Row],[23PDS2CC04 (Stat - 2) - CIA]:[23PDS2EG01 (DM) - Sem]])</f>
        <v>1115</v>
      </c>
    </row>
    <row r="38" spans="1:33" ht="12.5" x14ac:dyDescent="0.25">
      <c r="A38" s="4">
        <v>45876.43285921296</v>
      </c>
      <c r="B38" s="5" t="s">
        <v>142</v>
      </c>
      <c r="C38" s="5" t="s">
        <v>143</v>
      </c>
      <c r="D38" s="5" t="s">
        <v>33</v>
      </c>
      <c r="E38" s="5" t="s">
        <v>144</v>
      </c>
      <c r="F38" s="5">
        <v>57</v>
      </c>
      <c r="G38" s="5">
        <v>50</v>
      </c>
      <c r="H38" s="5">
        <v>71</v>
      </c>
      <c r="I38" s="5">
        <v>57</v>
      </c>
      <c r="J38" s="5">
        <v>67</v>
      </c>
      <c r="K38" s="5">
        <v>56</v>
      </c>
      <c r="L38" s="5">
        <v>53</v>
      </c>
      <c r="M38" s="5">
        <v>57</v>
      </c>
      <c r="N38" s="5">
        <v>58</v>
      </c>
      <c r="O38" s="5">
        <v>50</v>
      </c>
      <c r="P38" s="5">
        <v>84</v>
      </c>
      <c r="Q38" s="5">
        <v>72</v>
      </c>
      <c r="R38" s="5">
        <v>62</v>
      </c>
      <c r="S38" s="5">
        <v>54</v>
      </c>
      <c r="T38" s="5">
        <v>36</v>
      </c>
      <c r="U38" s="5">
        <v>82</v>
      </c>
      <c r="V38" s="5">
        <v>84</v>
      </c>
      <c r="W38" s="5">
        <v>90</v>
      </c>
      <c r="X38" s="5">
        <v>94</v>
      </c>
      <c r="Y38" s="5">
        <v>80</v>
      </c>
      <c r="Z38" s="5">
        <v>58</v>
      </c>
      <c r="AA38" s="5">
        <v>66</v>
      </c>
      <c r="AB38" s="5">
        <v>52</v>
      </c>
      <c r="AC38" s="5">
        <v>82</v>
      </c>
      <c r="AD38" s="5">
        <v>54</v>
      </c>
      <c r="AE38" s="6">
        <v>39</v>
      </c>
      <c r="AF38">
        <f>SUM(Form_Responses[[#This Row],[23PDS1CC01 (FDS) - CIA]:[23PDS1AE01 (DSE) - CIA]])</f>
        <v>660</v>
      </c>
      <c r="AG38">
        <f>SUM(Form_Responses[[#This Row],[23PDS2CC04 (Stat - 2) - CIA]:[23PDS2EG01 (DM) - Sem]])</f>
        <v>1005</v>
      </c>
    </row>
    <row r="39" spans="1:33" ht="12.5" x14ac:dyDescent="0.25">
      <c r="A39" s="10">
        <v>45880.643548125001</v>
      </c>
      <c r="B39" s="11" t="s">
        <v>145</v>
      </c>
      <c r="C39" s="11" t="s">
        <v>146</v>
      </c>
      <c r="D39" s="11" t="s">
        <v>40</v>
      </c>
      <c r="E39" s="11" t="s">
        <v>147</v>
      </c>
      <c r="F39" s="11">
        <v>72</v>
      </c>
      <c r="G39" s="11">
        <v>67</v>
      </c>
      <c r="H39" s="11">
        <v>82</v>
      </c>
      <c r="I39" s="11">
        <v>77</v>
      </c>
      <c r="J39" s="11">
        <v>85</v>
      </c>
      <c r="K39" s="11">
        <v>82</v>
      </c>
      <c r="L39" s="11">
        <v>77</v>
      </c>
      <c r="M39" s="11">
        <v>69</v>
      </c>
      <c r="N39" s="11">
        <v>84</v>
      </c>
      <c r="O39" s="11">
        <v>74</v>
      </c>
      <c r="P39" s="11">
        <v>80</v>
      </c>
      <c r="Q39" s="11">
        <v>85</v>
      </c>
      <c r="R39" s="11">
        <v>97</v>
      </c>
      <c r="S39" s="11">
        <v>77</v>
      </c>
      <c r="T39" s="11">
        <v>78</v>
      </c>
      <c r="U39" s="11">
        <v>89</v>
      </c>
      <c r="V39" s="11">
        <v>85</v>
      </c>
      <c r="W39" s="11">
        <v>100</v>
      </c>
      <c r="X39" s="11">
        <v>99</v>
      </c>
      <c r="Y39" s="11">
        <v>90</v>
      </c>
      <c r="Z39" s="11">
        <v>52</v>
      </c>
      <c r="AA39" s="11">
        <v>77</v>
      </c>
      <c r="AB39" s="11">
        <v>59</v>
      </c>
      <c r="AC39" s="11">
        <v>89</v>
      </c>
      <c r="AD39" s="11">
        <v>83</v>
      </c>
      <c r="AE39" s="12">
        <v>87</v>
      </c>
      <c r="AF39">
        <f>SUM(Form_Responses[[#This Row],[23PDS1CC01 (FDS) - CIA]:[23PDS1AE01 (DSE) - CIA]])</f>
        <v>849</v>
      </c>
      <c r="AG39">
        <f>SUM(Form_Responses[[#This Row],[23PDS2CC04 (Stat - 2) - CIA]:[23PDS2EG01 (DM) - Sem]])</f>
        <v>1247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 Seby</cp:lastModifiedBy>
  <dcterms:modified xsi:type="dcterms:W3CDTF">2025-09-02T06:46:03Z</dcterms:modified>
</cp:coreProperties>
</file>